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Z:\_AUTOMATION\AnalysisSS\"/>
    </mc:Choice>
  </mc:AlternateContent>
  <xr:revisionPtr revIDLastSave="0" documentId="13_ncr:1_{B83467E5-E87B-43D4-AE36-CE720FC29CDF}" xr6:coauthVersionLast="45" xr6:coauthVersionMax="45" xr10:uidLastSave="{00000000-0000-0000-0000-000000000000}"/>
  <bookViews>
    <workbookView xWindow="2250" yWindow="1830" windowWidth="28590" windowHeight="14370" xr2:uid="{00000000-000D-0000-FFFF-FFFF00000000}"/>
  </bookViews>
  <sheets>
    <sheet name="090623-384-1-q140neo GT Quant B" sheetId="1" r:id="rId1"/>
    <sheet name="R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29" i="1" l="1"/>
  <c r="AR129" i="1" s="1"/>
  <c r="AQ126" i="1"/>
  <c r="AR126" i="1" s="1"/>
  <c r="AQ87" i="1"/>
  <c r="AR87" i="1" s="1"/>
  <c r="AQ97" i="1"/>
  <c r="AR97" i="1" s="1"/>
  <c r="AQ133" i="1"/>
  <c r="AR133" i="1" s="1"/>
  <c r="AQ156" i="1"/>
  <c r="AR156" i="1" s="1"/>
  <c r="AQ125" i="1"/>
  <c r="AR125" i="1" s="1"/>
  <c r="AN201" i="1"/>
  <c r="AO201" i="1"/>
  <c r="AN125" i="1"/>
  <c r="AO125" i="1" s="1"/>
  <c r="AN132" i="1"/>
  <c r="AO132" i="1" s="1"/>
  <c r="AN94" i="1"/>
  <c r="AO94" i="1" s="1"/>
  <c r="AN89" i="1"/>
  <c r="AO89" i="1" s="1"/>
  <c r="AN88" i="1"/>
  <c r="AO88" i="1" s="1"/>
  <c r="AN122" i="1"/>
  <c r="AO122" i="1" s="1"/>
  <c r="AN106" i="1"/>
  <c r="AO106" i="1" s="1"/>
  <c r="AN91" i="1"/>
  <c r="AO91" i="1"/>
  <c r="AN128" i="1"/>
  <c r="AO128" i="1" s="1"/>
  <c r="AN123" i="1"/>
  <c r="AO123" i="1" s="1"/>
  <c r="AN154" i="1"/>
  <c r="AO154" i="1" s="1"/>
  <c r="AN146" i="1"/>
  <c r="AO146" i="1" s="1"/>
  <c r="AN157" i="1"/>
  <c r="AO157" i="1" s="1"/>
  <c r="AN156" i="1"/>
  <c r="AO156" i="1" s="1"/>
  <c r="AN90" i="1"/>
  <c r="AO90" i="1" s="1"/>
  <c r="AN110" i="1"/>
  <c r="AO110" i="1"/>
  <c r="AN152" i="1"/>
  <c r="AO152" i="1" s="1"/>
  <c r="AN111" i="1"/>
  <c r="AO111" i="1" s="1"/>
  <c r="AN137" i="1"/>
  <c r="AO137" i="1" s="1"/>
  <c r="AN115" i="1"/>
  <c r="AO115" i="1" s="1"/>
  <c r="AN133" i="1"/>
  <c r="AO133" i="1" s="1"/>
  <c r="AN160" i="1"/>
  <c r="AO160" i="1" s="1"/>
  <c r="AN148" i="1"/>
  <c r="AO148" i="1" s="1"/>
  <c r="AN159" i="1"/>
  <c r="AO159" i="1"/>
  <c r="AN119" i="1"/>
  <c r="AO119" i="1" s="1"/>
  <c r="AN104" i="1"/>
  <c r="AO104" i="1" s="1"/>
  <c r="AN98" i="1"/>
  <c r="AO98" i="1" s="1"/>
  <c r="AN120" i="1"/>
  <c r="AO120" i="1" s="1"/>
  <c r="AN93" i="1"/>
  <c r="AO93" i="1" s="1"/>
  <c r="AN92" i="1"/>
  <c r="AO92" i="1" s="1"/>
  <c r="AN141" i="1"/>
  <c r="AO141" i="1" s="1"/>
  <c r="AN143" i="1"/>
  <c r="AO143" i="1" s="1"/>
  <c r="AN116" i="1"/>
  <c r="AO116" i="1" s="1"/>
  <c r="AN136" i="1"/>
  <c r="AO136" i="1" s="1"/>
  <c r="AN151" i="1"/>
  <c r="AO151" i="1" s="1"/>
  <c r="AN96" i="1"/>
  <c r="AO96" i="1" s="1"/>
  <c r="AN103" i="1"/>
  <c r="AO103" i="1" s="1"/>
  <c r="AN142" i="1"/>
  <c r="AO142" i="1" s="1"/>
  <c r="AN153" i="1"/>
  <c r="AO153" i="1" s="1"/>
  <c r="AN86" i="1"/>
  <c r="AO86" i="1"/>
  <c r="AN150" i="1"/>
  <c r="AO150" i="1" s="1"/>
  <c r="AN131" i="1"/>
  <c r="AO131" i="1" s="1"/>
  <c r="AN317" i="1"/>
  <c r="AO317" i="1" s="1"/>
  <c r="AN8" i="1"/>
  <c r="AO8" i="1" s="1"/>
  <c r="AN5" i="1"/>
  <c r="AO5" i="1" s="1"/>
  <c r="AN84" i="1"/>
  <c r="AO84" i="1" s="1"/>
  <c r="AN315" i="1"/>
  <c r="AO315" i="1" s="1"/>
  <c r="AN313" i="1"/>
  <c r="AO313" i="1"/>
  <c r="AN197" i="1"/>
  <c r="AO197" i="1" s="1"/>
  <c r="AN243" i="1"/>
  <c r="AO243" i="1" s="1"/>
  <c r="AN223" i="1"/>
  <c r="AO223" i="1" s="1"/>
  <c r="AN312" i="1"/>
  <c r="AO312" i="1" s="1"/>
  <c r="AN2" i="1"/>
  <c r="AO2" i="1" s="1"/>
  <c r="AN68" i="1"/>
  <c r="AO68" i="1" s="1"/>
  <c r="AN195" i="1"/>
  <c r="AO195" i="1" s="1"/>
  <c r="AN221" i="1"/>
  <c r="AO221" i="1"/>
  <c r="AN222" i="1"/>
  <c r="AO222" i="1" s="1"/>
  <c r="AN220" i="1"/>
  <c r="AO220" i="1" s="1"/>
  <c r="AN224" i="1"/>
  <c r="AO224" i="1" s="1"/>
  <c r="AN75" i="1"/>
  <c r="AO75" i="1" s="1"/>
  <c r="AN227" i="1"/>
  <c r="AO227" i="1" s="1"/>
  <c r="AN83" i="1"/>
  <c r="AO83" i="1" s="1"/>
  <c r="AN318" i="1"/>
  <c r="AO318" i="1" s="1"/>
  <c r="AN322" i="1"/>
  <c r="AO322" i="1"/>
  <c r="AN288" i="1"/>
  <c r="AO288" i="1" s="1"/>
  <c r="AN219" i="1"/>
  <c r="AO219" i="1" s="1"/>
  <c r="AN81" i="1"/>
  <c r="AO81" i="1" s="1"/>
  <c r="AN245" i="1"/>
  <c r="AO245" i="1" s="1"/>
  <c r="AN218" i="1"/>
  <c r="AO218" i="1" s="1"/>
  <c r="AN319" i="1"/>
  <c r="AO319" i="1" s="1"/>
  <c r="AN271" i="1"/>
  <c r="AO271" i="1" s="1"/>
  <c r="AN18" i="1"/>
  <c r="AO18" i="1"/>
  <c r="AN257" i="1"/>
  <c r="AO257" i="1" s="1"/>
  <c r="AN237" i="1"/>
  <c r="AO237" i="1" s="1"/>
  <c r="AN282" i="1"/>
  <c r="AO282" i="1" s="1"/>
  <c r="AN209" i="1"/>
  <c r="AO209" i="1" s="1"/>
  <c r="AN210" i="1"/>
  <c r="AO210" i="1" s="1"/>
  <c r="AN214" i="1"/>
  <c r="AO214" i="1" s="1"/>
  <c r="AN283" i="1"/>
  <c r="AO283" i="1" s="1"/>
  <c r="AN42" i="1"/>
  <c r="AO42" i="1"/>
  <c r="AN60" i="1"/>
  <c r="AO60" i="1" s="1"/>
  <c r="AN12" i="1"/>
  <c r="AO12" i="1" s="1"/>
  <c r="AN176" i="1"/>
  <c r="AO176" i="1" s="1"/>
  <c r="AN242" i="1"/>
  <c r="AO242" i="1" s="1"/>
  <c r="AN239" i="1"/>
  <c r="AO239" i="1" s="1"/>
  <c r="AN184" i="1"/>
  <c r="AO184" i="1" s="1"/>
  <c r="AN304" i="1"/>
  <c r="AO304" i="1" s="1"/>
  <c r="AN307" i="1"/>
  <c r="AO307" i="1"/>
  <c r="AN9" i="1"/>
  <c r="AO9" i="1" s="1"/>
  <c r="AN73" i="1"/>
  <c r="AO73" i="1" s="1"/>
  <c r="AN70" i="1"/>
  <c r="AO70" i="1" s="1"/>
  <c r="AN20" i="1"/>
  <c r="AO20" i="1" s="1"/>
  <c r="AN19" i="1"/>
  <c r="AO19" i="1" s="1"/>
  <c r="AN39" i="1"/>
  <c r="AO39" i="1" s="1"/>
  <c r="AN30" i="1"/>
  <c r="AO30" i="1" s="1"/>
  <c r="AN29" i="1"/>
  <c r="AO29" i="1" s="1"/>
  <c r="AN212" i="1"/>
  <c r="AO212" i="1" s="1"/>
  <c r="AN235" i="1"/>
  <c r="AO235" i="1" s="1"/>
  <c r="AN238" i="1"/>
  <c r="AO238" i="1" s="1"/>
  <c r="AN275" i="1"/>
  <c r="AO275" i="1" s="1"/>
  <c r="AN241" i="1"/>
  <c r="AO241" i="1" s="1"/>
  <c r="AN233" i="1"/>
  <c r="AO233" i="1" s="1"/>
  <c r="AN309" i="1"/>
  <c r="AO309" i="1" s="1"/>
  <c r="AN173" i="1"/>
  <c r="AO173" i="1"/>
  <c r="AN66" i="1"/>
  <c r="AO66" i="1" s="1"/>
  <c r="AN225" i="1"/>
  <c r="AO225" i="1" s="1"/>
  <c r="AN251" i="1"/>
  <c r="AO251" i="1" s="1"/>
  <c r="AN180" i="1"/>
  <c r="AO180" i="1" s="1"/>
  <c r="AN234" i="1"/>
  <c r="AO234" i="1" s="1"/>
  <c r="AN182" i="1"/>
  <c r="AO182" i="1" s="1"/>
  <c r="AN21" i="1"/>
  <c r="AO21" i="1" s="1"/>
  <c r="AN56" i="1"/>
  <c r="AO56" i="1"/>
  <c r="AN85" i="1"/>
  <c r="AO85" i="1" s="1"/>
  <c r="AN273" i="1"/>
  <c r="AO273" i="1" s="1"/>
  <c r="AN6" i="1"/>
  <c r="AO6" i="1" s="1"/>
  <c r="AN258" i="1"/>
  <c r="AO258" i="1" s="1"/>
  <c r="AN256" i="1"/>
  <c r="AO256" i="1" s="1"/>
  <c r="AN255" i="1"/>
  <c r="AO255" i="1" s="1"/>
  <c r="AN228" i="1"/>
  <c r="AO228" i="1" s="1"/>
  <c r="AN178" i="1"/>
  <c r="AO178" i="1"/>
  <c r="AN330" i="1"/>
  <c r="AO330" i="1" s="1"/>
  <c r="AN230" i="1"/>
  <c r="AO230" i="1" s="1"/>
  <c r="AN332" i="1"/>
  <c r="AO332" i="1" s="1"/>
  <c r="AN279" i="1"/>
  <c r="AO279" i="1" s="1"/>
  <c r="AN16" i="1"/>
  <c r="AO16" i="1" s="1"/>
  <c r="AN71" i="1"/>
  <c r="AO71" i="1" s="1"/>
  <c r="AN58" i="1"/>
  <c r="AO58" i="1" s="1"/>
  <c r="AN79" i="1"/>
  <c r="AO79" i="1"/>
  <c r="AN53" i="1"/>
  <c r="AO53" i="1" s="1"/>
  <c r="AN63" i="1"/>
  <c r="AO63" i="1" s="1"/>
  <c r="AN36" i="1"/>
  <c r="AO36" i="1" s="1"/>
  <c r="AN27" i="1"/>
  <c r="AO27" i="1" s="1"/>
  <c r="AN168" i="1"/>
  <c r="AO168" i="1" s="1"/>
  <c r="AN174" i="1"/>
  <c r="AO174" i="1" s="1"/>
  <c r="AN183" i="1"/>
  <c r="AO183" i="1" s="1"/>
  <c r="AN208" i="1"/>
  <c r="AO208" i="1"/>
  <c r="AN277" i="1"/>
  <c r="AO277" i="1" s="1"/>
  <c r="AN4" i="1"/>
  <c r="AO4" i="1" s="1"/>
  <c r="AN59" i="1"/>
  <c r="AO59" i="1" s="1"/>
  <c r="AN54" i="1"/>
  <c r="AO54" i="1" s="1"/>
  <c r="AN334" i="1"/>
  <c r="AO334" i="1" s="1"/>
  <c r="AN338" i="1"/>
  <c r="AO338" i="1" s="1"/>
  <c r="AN333" i="1"/>
  <c r="AO333" i="1" s="1"/>
  <c r="AN57" i="1"/>
  <c r="AO57" i="1"/>
  <c r="AN41" i="1"/>
  <c r="AO41" i="1" s="1"/>
  <c r="AN64" i="1"/>
  <c r="AO64" i="1" s="1"/>
  <c r="AN25" i="1"/>
  <c r="AO25" i="1" s="1"/>
  <c r="AN37" i="1"/>
  <c r="AO37" i="1" s="1"/>
  <c r="AN32" i="1"/>
  <c r="AO32" i="1" s="1"/>
  <c r="AN299" i="1"/>
  <c r="AO299" i="1" s="1"/>
  <c r="AN167" i="1"/>
  <c r="AO167" i="1" s="1"/>
  <c r="AN336" i="1"/>
  <c r="AO336" i="1"/>
  <c r="AN297" i="1"/>
  <c r="AO297" i="1" s="1"/>
  <c r="AN26" i="1"/>
  <c r="AO26" i="1" s="1"/>
  <c r="AN10" i="1"/>
  <c r="AO10" i="1" s="1"/>
  <c r="AN35" i="1"/>
  <c r="AO35" i="1" s="1"/>
  <c r="AN337" i="1"/>
  <c r="AO337" i="1" s="1"/>
  <c r="AN188" i="1"/>
  <c r="AO188" i="1" s="1"/>
  <c r="AN328" i="1"/>
  <c r="AO328" i="1" s="1"/>
  <c r="AN213" i="1"/>
  <c r="AO213" i="1" s="1"/>
  <c r="AN15" i="1"/>
  <c r="AO15" i="1" s="1"/>
  <c r="AN62" i="1"/>
  <c r="AO62" i="1" s="1"/>
  <c r="AN55" i="1"/>
  <c r="AO55" i="1" s="1"/>
  <c r="AN34" i="1"/>
  <c r="AO34" i="1" s="1"/>
  <c r="AN298" i="1"/>
  <c r="AO298" i="1" s="1"/>
  <c r="AN165" i="1"/>
  <c r="AO165" i="1" s="1"/>
  <c r="AN44" i="1"/>
  <c r="AO44" i="1" s="1"/>
  <c r="AN284" i="1"/>
  <c r="AO284" i="1"/>
  <c r="AN264" i="1"/>
  <c r="AO264" i="1" s="1"/>
  <c r="AN204" i="1"/>
  <c r="AO204" i="1" s="1"/>
  <c r="AN293" i="1"/>
  <c r="AO293" i="1" s="1"/>
  <c r="AN45" i="1"/>
  <c r="AO45" i="1" s="1"/>
  <c r="AN11" i="1"/>
  <c r="AO11" i="1" s="1"/>
  <c r="AN97" i="1"/>
  <c r="AO97" i="1" s="1"/>
  <c r="AN126" i="1"/>
  <c r="AO126" i="1" s="1"/>
  <c r="AN87" i="1"/>
  <c r="AO87" i="1" s="1"/>
  <c r="AN118" i="1"/>
  <c r="AO118" i="1" s="1"/>
  <c r="AN127" i="1"/>
  <c r="AO127" i="1" s="1"/>
  <c r="AN121" i="1"/>
  <c r="AO121" i="1"/>
  <c r="AN129" i="1"/>
  <c r="AO129" i="1" s="1"/>
  <c r="AN144" i="1"/>
  <c r="AO144" i="1" s="1"/>
  <c r="AN99" i="1"/>
  <c r="AO99" i="1" s="1"/>
  <c r="AN100" i="1"/>
  <c r="AO100" i="1" s="1"/>
  <c r="AN145" i="1"/>
  <c r="AO145" i="1" s="1"/>
  <c r="AN300" i="1"/>
  <c r="AO300" i="1" s="1"/>
  <c r="AN80" i="1"/>
  <c r="AO80" i="1" s="1"/>
  <c r="AN82" i="1"/>
  <c r="AO82" i="1"/>
  <c r="AN17" i="1"/>
  <c r="AO17" i="1" s="1"/>
  <c r="AN50" i="1"/>
  <c r="AO50" i="1" s="1"/>
  <c r="AN65" i="1"/>
  <c r="AO65" i="1" s="1"/>
  <c r="AN69" i="1"/>
  <c r="AO69" i="1" s="1"/>
  <c r="AN327" i="1"/>
  <c r="AO327" i="1" s="1"/>
  <c r="AN40" i="1"/>
  <c r="AO40" i="1" s="1"/>
  <c r="AN13" i="1"/>
  <c r="AO13" i="1" s="1"/>
  <c r="AN329" i="1"/>
  <c r="AO329" i="1"/>
  <c r="AN52" i="1"/>
  <c r="AO52" i="1" s="1"/>
  <c r="AN77" i="1"/>
  <c r="AO77" i="1" s="1"/>
  <c r="AN24" i="1"/>
  <c r="AO24" i="1" s="1"/>
  <c r="AN38" i="1"/>
  <c r="AO38" i="1" s="1"/>
  <c r="AN49" i="1"/>
  <c r="AO49" i="1" s="1"/>
  <c r="AN61" i="1"/>
  <c r="AO61" i="1" s="1"/>
  <c r="AN169" i="1"/>
  <c r="AO169" i="1" s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2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03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251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164" i="1"/>
  <c r="H7" i="2"/>
  <c r="H6" i="2"/>
  <c r="H5" i="2"/>
  <c r="H4" i="2"/>
  <c r="H3" i="2"/>
  <c r="H2" i="2"/>
  <c r="Y4" i="1"/>
  <c r="Y5" i="1"/>
  <c r="Y6" i="1"/>
  <c r="Y8" i="1"/>
  <c r="Y9" i="1"/>
  <c r="Y10" i="1"/>
  <c r="Y11" i="1"/>
  <c r="Y12" i="1"/>
  <c r="Y15" i="1"/>
  <c r="Y16" i="1"/>
  <c r="Y18" i="1"/>
  <c r="Y19" i="1"/>
  <c r="Y20" i="1"/>
  <c r="Y21" i="1"/>
  <c r="Y25" i="1"/>
  <c r="Y26" i="1"/>
  <c r="Y27" i="1"/>
  <c r="Y29" i="1"/>
  <c r="Y30" i="1"/>
  <c r="Y32" i="1"/>
  <c r="Y35" i="1"/>
  <c r="Y36" i="1"/>
  <c r="Y37" i="1"/>
  <c r="Y39" i="1"/>
  <c r="Y41" i="1"/>
  <c r="Y42" i="1"/>
  <c r="Y44" i="1"/>
  <c r="Y45" i="1"/>
  <c r="Y53" i="1"/>
  <c r="Y54" i="1"/>
  <c r="Y55" i="1"/>
  <c r="Y56" i="1"/>
  <c r="Y57" i="1"/>
  <c r="Y58" i="1"/>
  <c r="Y59" i="1"/>
  <c r="Y60" i="1"/>
  <c r="Y62" i="1"/>
  <c r="Y63" i="1"/>
  <c r="Y64" i="1"/>
  <c r="Y66" i="1"/>
  <c r="Y68" i="1"/>
  <c r="Y70" i="1"/>
  <c r="Y71" i="1"/>
  <c r="Y73" i="1"/>
  <c r="Y75" i="1"/>
  <c r="Y79" i="1"/>
  <c r="Y81" i="1"/>
  <c r="Y83" i="1"/>
  <c r="Y84" i="1"/>
  <c r="Y85" i="1"/>
  <c r="Y86" i="1"/>
  <c r="Y88" i="1"/>
  <c r="Y89" i="1"/>
  <c r="Y90" i="1"/>
  <c r="Y91" i="1"/>
  <c r="Y92" i="1"/>
  <c r="Y93" i="1"/>
  <c r="Y94" i="1"/>
  <c r="Y96" i="1"/>
  <c r="Y98" i="1"/>
  <c r="Y103" i="1"/>
  <c r="Y104" i="1"/>
  <c r="Y106" i="1"/>
  <c r="Y110" i="1"/>
  <c r="Y111" i="1"/>
  <c r="Y115" i="1"/>
  <c r="Y116" i="1"/>
  <c r="Y119" i="1"/>
  <c r="Y120" i="1"/>
  <c r="Y122" i="1"/>
  <c r="Y123" i="1"/>
  <c r="Y125" i="1"/>
  <c r="Y128" i="1"/>
  <c r="Y131" i="1"/>
  <c r="Y132" i="1"/>
  <c r="Y133" i="1"/>
  <c r="Y136" i="1"/>
  <c r="Y137" i="1"/>
  <c r="Y141" i="1"/>
  <c r="Y142" i="1"/>
  <c r="Y143" i="1"/>
  <c r="Y146" i="1"/>
  <c r="Y148" i="1"/>
  <c r="Y150" i="1"/>
  <c r="Y151" i="1"/>
  <c r="Y152" i="1"/>
  <c r="Y153" i="1"/>
  <c r="Y154" i="1"/>
  <c r="Y156" i="1"/>
  <c r="Y157" i="1"/>
  <c r="Y159" i="1"/>
  <c r="Y160" i="1"/>
  <c r="Y165" i="1"/>
  <c r="Y167" i="1"/>
  <c r="Y168" i="1"/>
  <c r="Y169" i="1"/>
  <c r="Y173" i="1"/>
  <c r="Y174" i="1"/>
  <c r="Y176" i="1"/>
  <c r="Y178" i="1"/>
  <c r="Y180" i="1"/>
  <c r="Y182" i="1"/>
  <c r="Y183" i="1"/>
  <c r="Y184" i="1"/>
  <c r="Y188" i="1"/>
  <c r="Y195" i="1"/>
  <c r="Y197" i="1"/>
  <c r="Y201" i="1"/>
  <c r="Y204" i="1"/>
  <c r="Y208" i="1"/>
  <c r="Y209" i="1"/>
  <c r="Y210" i="1"/>
  <c r="Y212" i="1"/>
  <c r="Y213" i="1"/>
  <c r="Y214" i="1"/>
  <c r="Y218" i="1"/>
  <c r="Y219" i="1"/>
  <c r="Y220" i="1"/>
  <c r="Y221" i="1"/>
  <c r="Y222" i="1"/>
  <c r="Y223" i="1"/>
  <c r="Y224" i="1"/>
  <c r="Y225" i="1"/>
  <c r="Y227" i="1"/>
  <c r="Y228" i="1"/>
  <c r="Y230" i="1"/>
  <c r="Y233" i="1"/>
  <c r="Y234" i="1"/>
  <c r="Y235" i="1"/>
  <c r="Y237" i="1"/>
  <c r="Y238" i="1"/>
  <c r="Y239" i="1"/>
  <c r="Y241" i="1"/>
  <c r="Y242" i="1"/>
  <c r="Y243" i="1"/>
  <c r="Y245" i="1"/>
  <c r="Y251" i="1"/>
  <c r="Y255" i="1"/>
  <c r="Y256" i="1"/>
  <c r="Y257" i="1"/>
  <c r="Y258" i="1"/>
  <c r="Y264" i="1"/>
  <c r="Y271" i="1"/>
  <c r="Y273" i="1"/>
  <c r="Y275" i="1"/>
  <c r="Y277" i="1"/>
  <c r="Y279" i="1"/>
  <c r="Y282" i="1"/>
  <c r="Y283" i="1"/>
  <c r="Y284" i="1"/>
  <c r="Y288" i="1"/>
  <c r="Y293" i="1"/>
  <c r="Y297" i="1"/>
  <c r="Y298" i="1"/>
  <c r="Y299" i="1"/>
  <c r="Y301" i="1"/>
  <c r="Y304" i="1"/>
  <c r="Y307" i="1"/>
  <c r="Y309" i="1"/>
  <c r="Y312" i="1"/>
  <c r="Y313" i="1"/>
  <c r="Y315" i="1"/>
  <c r="Y317" i="1"/>
  <c r="Y318" i="1"/>
  <c r="Y319" i="1"/>
  <c r="Y322" i="1"/>
  <c r="Y328" i="1"/>
  <c r="Y330" i="1"/>
  <c r="Y332" i="1"/>
  <c r="Y333" i="1"/>
  <c r="Y334" i="1"/>
  <c r="Y336" i="1"/>
  <c r="Y337" i="1"/>
  <c r="Y338" i="1"/>
  <c r="Y51" i="1"/>
  <c r="Y105" i="1"/>
  <c r="Y107" i="1"/>
  <c r="Y108" i="1"/>
  <c r="Y112" i="1"/>
  <c r="Y113" i="1"/>
  <c r="Y114" i="1"/>
  <c r="Y117" i="1"/>
  <c r="Y124" i="1"/>
  <c r="Y130" i="1"/>
  <c r="Y134" i="1"/>
  <c r="Y147" i="1"/>
  <c r="Y155" i="1"/>
  <c r="Y158" i="1"/>
  <c r="Y161" i="1"/>
  <c r="Y162" i="1"/>
  <c r="Y274" i="1"/>
  <c r="Y305" i="1"/>
  <c r="Y308" i="1"/>
  <c r="Y323" i="1"/>
  <c r="Y3" i="1"/>
  <c r="Y7" i="1"/>
  <c r="Y14" i="1"/>
  <c r="Y23" i="1"/>
  <c r="Y28" i="1"/>
  <c r="Y31" i="1"/>
  <c r="Y33" i="1"/>
  <c r="Y43" i="1"/>
  <c r="Y46" i="1"/>
  <c r="Y47" i="1"/>
  <c r="Y48" i="1"/>
  <c r="Y67" i="1"/>
  <c r="Y72" i="1"/>
  <c r="Y74" i="1"/>
  <c r="Y76" i="1"/>
  <c r="Y78" i="1"/>
  <c r="Y95" i="1"/>
  <c r="Y101" i="1"/>
  <c r="Y102" i="1"/>
  <c r="Y109" i="1"/>
  <c r="Y135" i="1"/>
  <c r="Y138" i="1"/>
  <c r="Y139" i="1"/>
  <c r="Y140" i="1"/>
  <c r="Y149" i="1"/>
  <c r="Y163" i="1"/>
  <c r="Y164" i="1"/>
  <c r="Y166" i="1"/>
  <c r="Y170" i="1"/>
  <c r="Y171" i="1"/>
  <c r="Y172" i="1"/>
  <c r="Y175" i="1"/>
  <c r="Y177" i="1"/>
  <c r="Y179" i="1"/>
  <c r="Y181" i="1"/>
  <c r="Y185" i="1"/>
  <c r="Y186" i="1"/>
  <c r="Y187" i="1"/>
  <c r="Y189" i="1"/>
  <c r="Y190" i="1"/>
  <c r="Y191" i="1"/>
  <c r="Y192" i="1"/>
  <c r="Y193" i="1"/>
  <c r="Y194" i="1"/>
  <c r="Y196" i="1"/>
  <c r="Y198" i="1"/>
  <c r="Y199" i="1"/>
  <c r="Y200" i="1"/>
  <c r="Y202" i="1"/>
  <c r="Y203" i="1"/>
  <c r="Y205" i="1"/>
  <c r="Y206" i="1"/>
  <c r="Y207" i="1"/>
  <c r="Y211" i="1"/>
  <c r="Y215" i="1"/>
  <c r="Y216" i="1"/>
  <c r="Y217" i="1"/>
  <c r="Y226" i="1"/>
  <c r="Y229" i="1"/>
  <c r="Y231" i="1"/>
  <c r="Y232" i="1"/>
  <c r="Y236" i="1"/>
  <c r="Y240" i="1"/>
  <c r="Y244" i="1"/>
  <c r="Y246" i="1"/>
  <c r="Y247" i="1"/>
  <c r="Y248" i="1"/>
  <c r="Y249" i="1"/>
  <c r="Y250" i="1"/>
  <c r="Y252" i="1"/>
  <c r="Y253" i="1"/>
  <c r="Y254" i="1"/>
  <c r="Y259" i="1"/>
  <c r="Y260" i="1"/>
  <c r="Y261" i="1"/>
  <c r="Y262" i="1"/>
  <c r="Y263" i="1"/>
  <c r="Y265" i="1"/>
  <c r="Y266" i="1"/>
  <c r="Y267" i="1"/>
  <c r="Y268" i="1"/>
  <c r="Y269" i="1"/>
  <c r="Y270" i="1"/>
  <c r="Y272" i="1"/>
  <c r="Y276" i="1"/>
  <c r="Y278" i="1"/>
  <c r="Y280" i="1"/>
  <c r="Y281" i="1"/>
  <c r="Y285" i="1"/>
  <c r="Y286" i="1"/>
  <c r="Y287" i="1"/>
  <c r="Y289" i="1"/>
  <c r="Y290" i="1"/>
  <c r="Y291" i="1"/>
  <c r="Y292" i="1"/>
  <c r="Y294" i="1"/>
  <c r="Y295" i="1"/>
  <c r="Y296" i="1"/>
  <c r="Y302" i="1"/>
  <c r="Y303" i="1"/>
  <c r="Y306" i="1"/>
  <c r="Y310" i="1"/>
  <c r="Y311" i="1"/>
  <c r="Y314" i="1"/>
  <c r="Y316" i="1"/>
  <c r="Y320" i="1"/>
  <c r="Y321" i="1"/>
  <c r="Y324" i="1"/>
  <c r="Y325" i="1"/>
  <c r="Y331" i="1"/>
  <c r="Y335" i="1"/>
  <c r="Y13" i="1"/>
  <c r="Y17" i="1"/>
  <c r="Y22" i="1"/>
  <c r="Y38" i="1"/>
  <c r="Y40" i="1"/>
  <c r="Y52" i="1"/>
  <c r="Y65" i="1"/>
  <c r="Y80" i="1"/>
  <c r="Y82" i="1"/>
  <c r="Y87" i="1"/>
  <c r="Y97" i="1"/>
  <c r="Y99" i="1"/>
  <c r="Y100" i="1"/>
  <c r="Y118" i="1"/>
  <c r="Y126" i="1"/>
  <c r="Y127" i="1"/>
  <c r="Y144" i="1"/>
  <c r="Y145" i="1"/>
  <c r="Y329" i="1"/>
  <c r="Y24" i="1"/>
  <c r="Y49" i="1"/>
  <c r="Y50" i="1"/>
  <c r="Y61" i="1"/>
  <c r="Y69" i="1"/>
  <c r="Y77" i="1"/>
  <c r="Y129" i="1"/>
  <c r="Y300" i="1"/>
  <c r="Y327" i="1"/>
  <c r="Y121" i="1"/>
  <c r="Y34" i="1"/>
  <c r="Y326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2" i="1"/>
  <c r="M166" i="1"/>
  <c r="M182" i="1"/>
  <c r="M198" i="1"/>
  <c r="M214" i="1"/>
  <c r="M230" i="1"/>
  <c r="M246" i="1"/>
  <c r="M253" i="1"/>
  <c r="M269" i="1"/>
  <c r="M285" i="1"/>
  <c r="M301" i="1"/>
  <c r="M313" i="1"/>
  <c r="M329" i="1"/>
  <c r="M12" i="1"/>
  <c r="M28" i="1"/>
  <c r="M44" i="1"/>
  <c r="M60" i="1"/>
  <c r="M76" i="1"/>
  <c r="M96" i="1"/>
  <c r="M112" i="1"/>
  <c r="M128" i="1"/>
  <c r="M144" i="1"/>
  <c r="M160" i="1"/>
  <c r="M174" i="1"/>
  <c r="M190" i="1"/>
  <c r="M206" i="1"/>
  <c r="M222" i="1"/>
  <c r="M238" i="1"/>
  <c r="M261" i="1"/>
  <c r="M277" i="1"/>
  <c r="M293" i="1"/>
  <c r="M305" i="1"/>
  <c r="M321" i="1"/>
  <c r="M337" i="1"/>
  <c r="M5" i="1"/>
  <c r="M21" i="1"/>
  <c r="M37" i="1"/>
  <c r="M53" i="1"/>
  <c r="M69" i="1"/>
  <c r="M85" i="1"/>
  <c r="M89" i="1"/>
  <c r="M105" i="1"/>
  <c r="M121" i="1"/>
  <c r="M137" i="1"/>
  <c r="M153" i="1"/>
  <c r="M167" i="1"/>
  <c r="M183" i="1"/>
  <c r="M199" i="1"/>
  <c r="M215" i="1"/>
  <c r="M231" i="1"/>
  <c r="M247" i="1"/>
  <c r="M254" i="1"/>
  <c r="M270" i="1"/>
  <c r="M286" i="1"/>
  <c r="M302" i="1"/>
  <c r="M314" i="1"/>
  <c r="M330" i="1"/>
  <c r="M13" i="1"/>
  <c r="M29" i="1"/>
  <c r="M45" i="1"/>
  <c r="M61" i="1"/>
  <c r="M77" i="1"/>
  <c r="M97" i="1"/>
  <c r="M113" i="1"/>
  <c r="M129" i="1"/>
  <c r="M145" i="1"/>
  <c r="M161" i="1"/>
  <c r="M175" i="1"/>
  <c r="M191" i="1"/>
  <c r="M207" i="1"/>
  <c r="M223" i="1"/>
  <c r="M239" i="1"/>
  <c r="M262" i="1"/>
  <c r="M278" i="1"/>
  <c r="M294" i="1"/>
  <c r="M306" i="1"/>
  <c r="M322" i="1"/>
  <c r="M338" i="1"/>
  <c r="M6" i="1"/>
  <c r="M22" i="1"/>
  <c r="M38" i="1"/>
  <c r="M54" i="1"/>
  <c r="M70" i="1"/>
  <c r="M90" i="1"/>
  <c r="M106" i="1"/>
  <c r="M122" i="1"/>
  <c r="M138" i="1"/>
  <c r="M154" i="1"/>
  <c r="M168" i="1"/>
  <c r="M184" i="1"/>
  <c r="M200" i="1"/>
  <c r="M216" i="1"/>
  <c r="M232" i="1"/>
  <c r="M248" i="1"/>
  <c r="M255" i="1"/>
  <c r="M271" i="1"/>
  <c r="M287" i="1"/>
  <c r="M315" i="1"/>
  <c r="M331" i="1"/>
  <c r="M14" i="1"/>
  <c r="M30" i="1"/>
  <c r="M46" i="1"/>
  <c r="M62" i="1"/>
  <c r="M78" i="1"/>
  <c r="M98" i="1"/>
  <c r="M114" i="1"/>
  <c r="M130" i="1"/>
  <c r="M146" i="1"/>
  <c r="M162" i="1"/>
  <c r="M176" i="1"/>
  <c r="M192" i="1"/>
  <c r="M208" i="1"/>
  <c r="M224" i="1"/>
  <c r="M240" i="1"/>
  <c r="M263" i="1"/>
  <c r="M279" i="1"/>
  <c r="M295" i="1"/>
  <c r="M307" i="1"/>
  <c r="M323" i="1"/>
  <c r="M7" i="1"/>
  <c r="M23" i="1"/>
  <c r="M39" i="1"/>
  <c r="M55" i="1"/>
  <c r="M71" i="1"/>
  <c r="M91" i="1"/>
  <c r="M107" i="1"/>
  <c r="M123" i="1"/>
  <c r="M139" i="1"/>
  <c r="M155" i="1"/>
  <c r="M169" i="1"/>
  <c r="M185" i="1"/>
  <c r="M201" i="1"/>
  <c r="M217" i="1"/>
  <c r="M233" i="1"/>
  <c r="M249" i="1"/>
  <c r="M256" i="1"/>
  <c r="M272" i="1"/>
  <c r="M288" i="1"/>
  <c r="M316" i="1"/>
  <c r="M332" i="1"/>
  <c r="M15" i="1"/>
  <c r="M31" i="1"/>
  <c r="M47" i="1"/>
  <c r="M63" i="1"/>
  <c r="M79" i="1"/>
  <c r="M99" i="1"/>
  <c r="M115" i="1"/>
  <c r="M131" i="1"/>
  <c r="M147" i="1"/>
  <c r="M163" i="1"/>
  <c r="M177" i="1"/>
  <c r="M193" i="1"/>
  <c r="M209" i="1"/>
  <c r="M225" i="1"/>
  <c r="M241" i="1"/>
  <c r="M264" i="1"/>
  <c r="M280" i="1"/>
  <c r="M296" i="1"/>
  <c r="M308" i="1"/>
  <c r="M324" i="1"/>
  <c r="M8" i="1"/>
  <c r="M24" i="1"/>
  <c r="M40" i="1"/>
  <c r="M56" i="1"/>
  <c r="M72" i="1"/>
  <c r="M92" i="1"/>
  <c r="M108" i="1"/>
  <c r="M124" i="1"/>
  <c r="M140" i="1"/>
  <c r="M156" i="1"/>
  <c r="M170" i="1"/>
  <c r="M186" i="1"/>
  <c r="M202" i="1"/>
  <c r="M218" i="1"/>
  <c r="M234" i="1"/>
  <c r="M250" i="1"/>
  <c r="M257" i="1"/>
  <c r="M273" i="1"/>
  <c r="M289" i="1"/>
  <c r="M317" i="1"/>
  <c r="M333" i="1"/>
  <c r="M16" i="1"/>
  <c r="M32" i="1"/>
  <c r="M48" i="1"/>
  <c r="M64" i="1"/>
  <c r="M80" i="1"/>
  <c r="M100" i="1"/>
  <c r="M116" i="1"/>
  <c r="M132" i="1"/>
  <c r="M148" i="1"/>
  <c r="M178" i="1"/>
  <c r="M194" i="1"/>
  <c r="M210" i="1"/>
  <c r="M226" i="1"/>
  <c r="M242" i="1"/>
  <c r="M265" i="1"/>
  <c r="M281" i="1"/>
  <c r="M297" i="1"/>
  <c r="M309" i="1"/>
  <c r="M325" i="1"/>
  <c r="M9" i="1"/>
  <c r="M25" i="1"/>
  <c r="M41" i="1"/>
  <c r="M57" i="1"/>
  <c r="M73" i="1"/>
  <c r="M93" i="1"/>
  <c r="M109" i="1"/>
  <c r="M125" i="1"/>
  <c r="M141" i="1"/>
  <c r="M157" i="1"/>
  <c r="M171" i="1"/>
  <c r="M187" i="1"/>
  <c r="M203" i="1"/>
  <c r="M219" i="1"/>
  <c r="M235" i="1"/>
  <c r="M258" i="1"/>
  <c r="M274" i="1"/>
  <c r="M290" i="1"/>
  <c r="M318" i="1"/>
  <c r="M334" i="1"/>
  <c r="M17" i="1"/>
  <c r="M33" i="1"/>
  <c r="M49" i="1"/>
  <c r="M65" i="1"/>
  <c r="M81" i="1"/>
  <c r="M101" i="1"/>
  <c r="M117" i="1"/>
  <c r="M133" i="1"/>
  <c r="M149" i="1"/>
  <c r="M179" i="1"/>
  <c r="M195" i="1"/>
  <c r="M211" i="1"/>
  <c r="M227" i="1"/>
  <c r="M243" i="1"/>
  <c r="M266" i="1"/>
  <c r="M282" i="1"/>
  <c r="M298" i="1"/>
  <c r="M310" i="1"/>
  <c r="M326" i="1"/>
  <c r="M18" i="1"/>
  <c r="M34" i="1"/>
  <c r="M50" i="1"/>
  <c r="M66" i="1"/>
  <c r="M82" i="1"/>
  <c r="M86" i="1"/>
  <c r="M102" i="1"/>
  <c r="M118" i="1"/>
  <c r="M134" i="1"/>
  <c r="M150" i="1"/>
  <c r="M164" i="1"/>
  <c r="M180" i="1"/>
  <c r="M196" i="1"/>
  <c r="M212" i="1"/>
  <c r="M228" i="1"/>
  <c r="M244" i="1"/>
  <c r="M251" i="1"/>
  <c r="M267" i="1"/>
  <c r="M283" i="1"/>
  <c r="M299" i="1"/>
  <c r="M311" i="1"/>
  <c r="M327" i="1"/>
  <c r="M10" i="1"/>
  <c r="M26" i="1"/>
  <c r="M42" i="1"/>
  <c r="M58" i="1"/>
  <c r="M74" i="1"/>
  <c r="M94" i="1"/>
  <c r="M110" i="1"/>
  <c r="M126" i="1"/>
  <c r="M142" i="1"/>
  <c r="M158" i="1"/>
  <c r="M172" i="1"/>
  <c r="M188" i="1"/>
  <c r="M204" i="1"/>
  <c r="M220" i="1"/>
  <c r="M236" i="1"/>
  <c r="M259" i="1"/>
  <c r="M275" i="1"/>
  <c r="M291" i="1"/>
  <c r="M303" i="1"/>
  <c r="M319" i="1"/>
  <c r="M335" i="1"/>
  <c r="M3" i="1"/>
  <c r="M19" i="1"/>
  <c r="M35" i="1"/>
  <c r="M51" i="1"/>
  <c r="M67" i="1"/>
  <c r="M83" i="1"/>
  <c r="M87" i="1"/>
  <c r="M103" i="1"/>
  <c r="M119" i="1"/>
  <c r="M135" i="1"/>
  <c r="M151" i="1"/>
  <c r="M165" i="1"/>
  <c r="M181" i="1"/>
  <c r="M197" i="1"/>
  <c r="M213" i="1"/>
  <c r="M229" i="1"/>
  <c r="M245" i="1"/>
  <c r="M252" i="1"/>
  <c r="M268" i="1"/>
  <c r="M284" i="1"/>
  <c r="M300" i="1"/>
  <c r="M312" i="1"/>
  <c r="M328" i="1"/>
  <c r="M11" i="1"/>
  <c r="M27" i="1"/>
  <c r="M43" i="1"/>
  <c r="M59" i="1"/>
  <c r="M75" i="1"/>
  <c r="M95" i="1"/>
  <c r="M111" i="1"/>
  <c r="M127" i="1"/>
  <c r="M143" i="1"/>
  <c r="M159" i="1"/>
  <c r="M173" i="1"/>
  <c r="M189" i="1"/>
  <c r="M205" i="1"/>
  <c r="M221" i="1"/>
  <c r="M237" i="1"/>
  <c r="M260" i="1"/>
  <c r="M276" i="1"/>
  <c r="M292" i="1"/>
  <c r="M304" i="1"/>
  <c r="M320" i="1"/>
  <c r="M336" i="1"/>
  <c r="M4" i="1"/>
  <c r="M20" i="1"/>
  <c r="M36" i="1"/>
  <c r="M52" i="1"/>
  <c r="M68" i="1"/>
  <c r="M84" i="1"/>
  <c r="M88" i="1"/>
  <c r="M104" i="1"/>
  <c r="M120" i="1"/>
  <c r="M136" i="1"/>
  <c r="M152" i="1"/>
  <c r="M2" i="1"/>
</calcChain>
</file>

<file path=xl/sharedStrings.xml><?xml version="1.0" encoding="utf-8"?>
<sst xmlns="http://schemas.openxmlformats.org/spreadsheetml/2006/main" count="5180" uniqueCount="1073">
  <si>
    <t>File Name</t>
  </si>
  <si>
    <t>Date &amp; Time</t>
  </si>
  <si>
    <t>Well</t>
  </si>
  <si>
    <t>Sample Name</t>
  </si>
  <si>
    <t>FAM-Ct0</t>
  </si>
  <si>
    <t>NED-Ct0</t>
  </si>
  <si>
    <t>FAM</t>
  </si>
  <si>
    <t>VIC</t>
  </si>
  <si>
    <t>GT</t>
  </si>
  <si>
    <t>VIC-GT</t>
  </si>
  <si>
    <t>Letter</t>
  </si>
  <si>
    <t>Number</t>
  </si>
  <si>
    <t>POSITION</t>
  </si>
  <si>
    <t xml:space="preserve">PLATE </t>
  </si>
  <si>
    <t>INDEX</t>
  </si>
  <si>
    <t>old index</t>
  </si>
  <si>
    <t>stype</t>
  </si>
  <si>
    <t>SS</t>
  </si>
  <si>
    <t>DELCT</t>
  </si>
  <si>
    <t>RT</t>
  </si>
  <si>
    <t>Sample File</t>
  </si>
  <si>
    <t xml:space="preserve"> Height 1</t>
  </si>
  <si>
    <t xml:space="preserve"> Peak Area 1</t>
  </si>
  <si>
    <t>25434$1501</t>
  </si>
  <si>
    <t>CAR</t>
  </si>
  <si>
    <t>HET</t>
  </si>
  <si>
    <t>A</t>
  </si>
  <si>
    <t>PLATE1</t>
  </si>
  <si>
    <t>q140neo</t>
  </si>
  <si>
    <t>A1</t>
  </si>
  <si>
    <t>25434$1502</t>
  </si>
  <si>
    <t>WT</t>
  </si>
  <si>
    <t>C</t>
  </si>
  <si>
    <t>C1</t>
  </si>
  <si>
    <t>25434$1503</t>
  </si>
  <si>
    <t>E</t>
  </si>
  <si>
    <t>E1</t>
  </si>
  <si>
    <t>25434$1504</t>
  </si>
  <si>
    <t>G</t>
  </si>
  <si>
    <t>G1</t>
  </si>
  <si>
    <t>25434$1505</t>
  </si>
  <si>
    <t>I</t>
  </si>
  <si>
    <t>PLATE2</t>
  </si>
  <si>
    <t>I1</t>
  </si>
  <si>
    <t>25434$1506</t>
  </si>
  <si>
    <t>K</t>
  </si>
  <si>
    <t>K1</t>
  </si>
  <si>
    <t>25434$1507</t>
  </si>
  <si>
    <t>M</t>
  </si>
  <si>
    <t>M1</t>
  </si>
  <si>
    <t>25434$1508</t>
  </si>
  <si>
    <t>O</t>
  </si>
  <si>
    <t>O1</t>
  </si>
  <si>
    <t>25434$1509</t>
  </si>
  <si>
    <t>B</t>
  </si>
  <si>
    <t>B1</t>
  </si>
  <si>
    <t>25434$1510</t>
  </si>
  <si>
    <t>D</t>
  </si>
  <si>
    <t>D1</t>
  </si>
  <si>
    <t>25434$1511</t>
  </si>
  <si>
    <t>F</t>
  </si>
  <si>
    <t>F1</t>
  </si>
  <si>
    <t>25434$1512</t>
  </si>
  <si>
    <t>HOMO</t>
  </si>
  <si>
    <t>H</t>
  </si>
  <si>
    <t>H1</t>
  </si>
  <si>
    <t>25434$1513</t>
  </si>
  <si>
    <t>J</t>
  </si>
  <si>
    <t>J1</t>
  </si>
  <si>
    <t>25434$1514</t>
  </si>
  <si>
    <t>L</t>
  </si>
  <si>
    <t>L1</t>
  </si>
  <si>
    <t>25434$1515</t>
  </si>
  <si>
    <t>N</t>
  </si>
  <si>
    <t>N1</t>
  </si>
  <si>
    <t>25434$1516</t>
  </si>
  <si>
    <t>P</t>
  </si>
  <si>
    <t>P1</t>
  </si>
  <si>
    <t>25434$1517</t>
  </si>
  <si>
    <t>A2</t>
  </si>
  <si>
    <t>25434$1518</t>
  </si>
  <si>
    <t>C2</t>
  </si>
  <si>
    <t>25434$1519</t>
  </si>
  <si>
    <t>E2</t>
  </si>
  <si>
    <t>25434$1520</t>
  </si>
  <si>
    <t>G2</t>
  </si>
  <si>
    <t>25434$1521</t>
  </si>
  <si>
    <t>I2</t>
  </si>
  <si>
    <t>25434$1522</t>
  </si>
  <si>
    <t>K2</t>
  </si>
  <si>
    <t>25434$1523</t>
  </si>
  <si>
    <t>M2</t>
  </si>
  <si>
    <t>25434$1524</t>
  </si>
  <si>
    <t>O2</t>
  </si>
  <si>
    <t>25434$1525</t>
  </si>
  <si>
    <t>B2</t>
  </si>
  <si>
    <t>25434$1526</t>
  </si>
  <si>
    <t>D2</t>
  </si>
  <si>
    <t>25434$1527</t>
  </si>
  <si>
    <t>F2</t>
  </si>
  <si>
    <t>25434$1528</t>
  </si>
  <si>
    <t>H2</t>
  </si>
  <si>
    <t>25434$1529</t>
  </si>
  <si>
    <t>J2</t>
  </si>
  <si>
    <t>25434$1530</t>
  </si>
  <si>
    <t>L2</t>
  </si>
  <si>
    <t>25434$1531</t>
  </si>
  <si>
    <t>N2</t>
  </si>
  <si>
    <t>25434$1532</t>
  </si>
  <si>
    <t>P2</t>
  </si>
  <si>
    <t>25434$1533</t>
  </si>
  <si>
    <t>A3</t>
  </si>
  <si>
    <t>25434$1534</t>
  </si>
  <si>
    <t>C3</t>
  </si>
  <si>
    <t>25434$1535</t>
  </si>
  <si>
    <t>E3</t>
  </si>
  <si>
    <t>25434$1536</t>
  </si>
  <si>
    <t>G3</t>
  </si>
  <si>
    <t>25434$1537</t>
  </si>
  <si>
    <t>I3</t>
  </si>
  <si>
    <t>25434$1538</t>
  </si>
  <si>
    <t>K3</t>
  </si>
  <si>
    <t>25434$1539</t>
  </si>
  <si>
    <t>M3</t>
  </si>
  <si>
    <t>25434$1540</t>
  </si>
  <si>
    <t>O3</t>
  </si>
  <si>
    <t>25434$1541</t>
  </si>
  <si>
    <t>B3</t>
  </si>
  <si>
    <t>25434$1542</t>
  </si>
  <si>
    <t>D3</t>
  </si>
  <si>
    <t>25434$1543</t>
  </si>
  <si>
    <t>F3</t>
  </si>
  <si>
    <t>25434$1544</t>
  </si>
  <si>
    <t>H3</t>
  </si>
  <si>
    <t>25434$1545</t>
  </si>
  <si>
    <t>J3</t>
  </si>
  <si>
    <t>25434$1546</t>
  </si>
  <si>
    <t>L3</t>
  </si>
  <si>
    <t>25434$1547</t>
  </si>
  <si>
    <t>N3</t>
  </si>
  <si>
    <t>25434$1548</t>
  </si>
  <si>
    <t>P3</t>
  </si>
  <si>
    <t>25434$1549</t>
  </si>
  <si>
    <t>A4</t>
  </si>
  <si>
    <t>25434$1550</t>
  </si>
  <si>
    <t>C4</t>
  </si>
  <si>
    <t>25434$1551</t>
  </si>
  <si>
    <t>E4</t>
  </si>
  <si>
    <t>25434$1552</t>
  </si>
  <si>
    <t>G4</t>
  </si>
  <si>
    <t>25434$1553</t>
  </si>
  <si>
    <t>I4</t>
  </si>
  <si>
    <t>25434$1554</t>
  </si>
  <si>
    <t>K4</t>
  </si>
  <si>
    <t>25434$1555</t>
  </si>
  <si>
    <t>M4</t>
  </si>
  <si>
    <t>25434$1556</t>
  </si>
  <si>
    <t>O4</t>
  </si>
  <si>
    <t>25434$1557</t>
  </si>
  <si>
    <t>B4</t>
  </si>
  <si>
    <t>25434$1558</t>
  </si>
  <si>
    <t>D4</t>
  </si>
  <si>
    <t>25434$1559</t>
  </si>
  <si>
    <t>F4</t>
  </si>
  <si>
    <t>25434$1560</t>
  </si>
  <si>
    <t>H4</t>
  </si>
  <si>
    <t>25434$1561</t>
  </si>
  <si>
    <t>J4</t>
  </si>
  <si>
    <t>25434$1562</t>
  </si>
  <si>
    <t>L4</t>
  </si>
  <si>
    <t>25434$1563</t>
  </si>
  <si>
    <t>N4</t>
  </si>
  <si>
    <t>25434$1564</t>
  </si>
  <si>
    <t>P4</t>
  </si>
  <si>
    <t>25434$1565</t>
  </si>
  <si>
    <t>A5</t>
  </si>
  <si>
    <t>25434$1566</t>
  </si>
  <si>
    <t>C5</t>
  </si>
  <si>
    <t>25434$1567</t>
  </si>
  <si>
    <t>E5</t>
  </si>
  <si>
    <t>25434$1568</t>
  </si>
  <si>
    <t>G5</t>
  </si>
  <si>
    <t>25434$1569</t>
  </si>
  <si>
    <t>I5</t>
  </si>
  <si>
    <t>25434$1570</t>
  </si>
  <si>
    <t>K5</t>
  </si>
  <si>
    <t>25434$1571</t>
  </si>
  <si>
    <t>M5</t>
  </si>
  <si>
    <t>25434$1572</t>
  </si>
  <si>
    <t>O5</t>
  </si>
  <si>
    <t>25434$1573</t>
  </si>
  <si>
    <t>B5</t>
  </si>
  <si>
    <t>25434$1574</t>
  </si>
  <si>
    <t>D5</t>
  </si>
  <si>
    <t>25434$1575</t>
  </si>
  <si>
    <t>F5</t>
  </si>
  <si>
    <t>25434$1576</t>
  </si>
  <si>
    <t>H5</t>
  </si>
  <si>
    <t>25434$1577</t>
  </si>
  <si>
    <t>J5</t>
  </si>
  <si>
    <t>25434$1578</t>
  </si>
  <si>
    <t>L5</t>
  </si>
  <si>
    <t>25434$1579</t>
  </si>
  <si>
    <t>N5</t>
  </si>
  <si>
    <t>25434$1580</t>
  </si>
  <si>
    <t>P5</t>
  </si>
  <si>
    <t>25434$1581</t>
  </si>
  <si>
    <t>A6</t>
  </si>
  <si>
    <t>25434$1582</t>
  </si>
  <si>
    <t>C6</t>
  </si>
  <si>
    <t>25434$1583</t>
  </si>
  <si>
    <t>E6</t>
  </si>
  <si>
    <t>25434$1584</t>
  </si>
  <si>
    <t>G6</t>
  </si>
  <si>
    <t>25435$3174</t>
  </si>
  <si>
    <t>A7</t>
  </si>
  <si>
    <t>25435$3175</t>
  </si>
  <si>
    <t>C7</t>
  </si>
  <si>
    <t>25435$3176</t>
  </si>
  <si>
    <t>E7</t>
  </si>
  <si>
    <t>25435$3177</t>
  </si>
  <si>
    <t>G7</t>
  </si>
  <si>
    <t>25435$3178</t>
  </si>
  <si>
    <t>I7</t>
  </si>
  <si>
    <t>25435$3179</t>
  </si>
  <si>
    <t>K7</t>
  </si>
  <si>
    <t>25435$3180</t>
  </si>
  <si>
    <t>M7</t>
  </si>
  <si>
    <t>25435$3181</t>
  </si>
  <si>
    <t>O7</t>
  </si>
  <si>
    <t>25435$3182</t>
  </si>
  <si>
    <t>B7</t>
  </si>
  <si>
    <t>25435$3183</t>
  </si>
  <si>
    <t>D7</t>
  </si>
  <si>
    <t>25435$3184</t>
  </si>
  <si>
    <t>F7</t>
  </si>
  <si>
    <t>25435$3185</t>
  </si>
  <si>
    <t>H7</t>
  </si>
  <si>
    <t>25435$3186</t>
  </si>
  <si>
    <t>J7</t>
  </si>
  <si>
    <t>25435$3187</t>
  </si>
  <si>
    <t>L7</t>
  </si>
  <si>
    <t>25435$3188</t>
  </si>
  <si>
    <t>N7</t>
  </si>
  <si>
    <t>25435$3189</t>
  </si>
  <si>
    <t>P7</t>
  </si>
  <si>
    <t>25435$3190</t>
  </si>
  <si>
    <t>A8</t>
  </si>
  <si>
    <t>25435$3191</t>
  </si>
  <si>
    <t>C8</t>
  </si>
  <si>
    <t>25435$3192</t>
  </si>
  <si>
    <t>E8</t>
  </si>
  <si>
    <t>25435$3193</t>
  </si>
  <si>
    <t>G8</t>
  </si>
  <si>
    <t>25435$3194</t>
  </si>
  <si>
    <t>I8</t>
  </si>
  <si>
    <t>25435$3195</t>
  </si>
  <si>
    <t>K8</t>
  </si>
  <si>
    <t>25435$3196</t>
  </si>
  <si>
    <t>M8</t>
  </si>
  <si>
    <t>25435$3197</t>
  </si>
  <si>
    <t>O8</t>
  </si>
  <si>
    <t>25435$3198</t>
  </si>
  <si>
    <t>B8</t>
  </si>
  <si>
    <t>25435$3199</t>
  </si>
  <si>
    <t>D8</t>
  </si>
  <si>
    <t>25435$3200</t>
  </si>
  <si>
    <t>F8</t>
  </si>
  <si>
    <t>25435$3201</t>
  </si>
  <si>
    <t>H8</t>
  </si>
  <si>
    <t>25435$3202</t>
  </si>
  <si>
    <t>J8</t>
  </si>
  <si>
    <t>25435$3203</t>
  </si>
  <si>
    <t>L8</t>
  </si>
  <si>
    <t>25435$3204</t>
  </si>
  <si>
    <t>N8</t>
  </si>
  <si>
    <t>25435$3205</t>
  </si>
  <si>
    <t>P8</t>
  </si>
  <si>
    <t>25435$3206</t>
  </si>
  <si>
    <t>A9</t>
  </si>
  <si>
    <t>25435$3207</t>
  </si>
  <si>
    <t>C9</t>
  </si>
  <si>
    <t>25435$3208</t>
  </si>
  <si>
    <t>E9</t>
  </si>
  <si>
    <t>25435$3209</t>
  </si>
  <si>
    <t>G9</t>
  </si>
  <si>
    <t>25435$3212</t>
  </si>
  <si>
    <t>I9</t>
  </si>
  <si>
    <t>25435$3213</t>
  </si>
  <si>
    <t>K9</t>
  </si>
  <si>
    <t>25435$3214</t>
  </si>
  <si>
    <t>M9</t>
  </si>
  <si>
    <t>25435$3215</t>
  </si>
  <si>
    <t>O9</t>
  </si>
  <si>
    <t>25435$3216</t>
  </si>
  <si>
    <t>B9</t>
  </si>
  <si>
    <t>25435$3217</t>
  </si>
  <si>
    <t>D9</t>
  </si>
  <si>
    <t>25435$3218</t>
  </si>
  <si>
    <t>F9</t>
  </si>
  <si>
    <t>25435$3219</t>
  </si>
  <si>
    <t>H9</t>
  </si>
  <si>
    <t>25435$3220</t>
  </si>
  <si>
    <t>J9</t>
  </si>
  <si>
    <t>25435$3221</t>
  </si>
  <si>
    <t>L9</t>
  </si>
  <si>
    <t>25435$3222</t>
  </si>
  <si>
    <t>N9</t>
  </si>
  <si>
    <t>25435$3223</t>
  </si>
  <si>
    <t>P9</t>
  </si>
  <si>
    <t>25435$3224</t>
  </si>
  <si>
    <t>A10</t>
  </si>
  <si>
    <t>25435$3225</t>
  </si>
  <si>
    <t>C10</t>
  </si>
  <si>
    <t>25435$3226</t>
  </si>
  <si>
    <t>E10</t>
  </si>
  <si>
    <t>25435$3227</t>
  </si>
  <si>
    <t>G10</t>
  </si>
  <si>
    <t>25435$3228</t>
  </si>
  <si>
    <t>I10</t>
  </si>
  <si>
    <t>25435$3229</t>
  </si>
  <si>
    <t>K10</t>
  </si>
  <si>
    <t>25435$3230</t>
  </si>
  <si>
    <t>M10</t>
  </si>
  <si>
    <t>25435$3231</t>
  </si>
  <si>
    <t>O10</t>
  </si>
  <si>
    <t>25435$3232</t>
  </si>
  <si>
    <t>B10</t>
  </si>
  <si>
    <t>25435$3233</t>
  </si>
  <si>
    <t>D10</t>
  </si>
  <si>
    <t>25435$3234</t>
  </si>
  <si>
    <t>F10</t>
  </si>
  <si>
    <t>25435$3235</t>
  </si>
  <si>
    <t>H10</t>
  </si>
  <si>
    <t>25435$3236</t>
  </si>
  <si>
    <t>J10</t>
  </si>
  <si>
    <t>25435$3237</t>
  </si>
  <si>
    <t>L10</t>
  </si>
  <si>
    <t>25435$3238</t>
  </si>
  <si>
    <t>N10</t>
  </si>
  <si>
    <t>25435$3239</t>
  </si>
  <si>
    <t>P10</t>
  </si>
  <si>
    <t>25435$3240</t>
  </si>
  <si>
    <t>A11</t>
  </si>
  <si>
    <t>25435$3241</t>
  </si>
  <si>
    <t>C11</t>
  </si>
  <si>
    <t>25435$3242</t>
  </si>
  <si>
    <t>E11</t>
  </si>
  <si>
    <t>25435$3243</t>
  </si>
  <si>
    <t>G11</t>
  </si>
  <si>
    <t>25435$3244</t>
  </si>
  <si>
    <t>I11</t>
  </si>
  <si>
    <t>25435$3245</t>
  </si>
  <si>
    <t>K11</t>
  </si>
  <si>
    <t>25435$3246</t>
  </si>
  <si>
    <t>M11</t>
  </si>
  <si>
    <t>25435$3247</t>
  </si>
  <si>
    <t>O11</t>
  </si>
  <si>
    <t>25435$3248</t>
  </si>
  <si>
    <t>B11</t>
  </si>
  <si>
    <t>25435$3249</t>
  </si>
  <si>
    <t>D11</t>
  </si>
  <si>
    <t>25435$3250</t>
  </si>
  <si>
    <t>F11</t>
  </si>
  <si>
    <t>25435$3251</t>
  </si>
  <si>
    <t>H11</t>
  </si>
  <si>
    <t>25435$3252</t>
  </si>
  <si>
    <t>J11</t>
  </si>
  <si>
    <t>25435$3253</t>
  </si>
  <si>
    <t>L11</t>
  </si>
  <si>
    <t>25436$1626</t>
  </si>
  <si>
    <t>PLATE3</t>
  </si>
  <si>
    <t>A13</t>
  </si>
  <si>
    <t>3-01-25436$1626_A01.fsa</t>
  </si>
  <si>
    <t xml:space="preserve"> </t>
  </si>
  <si>
    <t>25436$1627</t>
  </si>
  <si>
    <t>C13</t>
  </si>
  <si>
    <t>3-02-25436$1627_B01.fsa</t>
  </si>
  <si>
    <t>25436$1628</t>
  </si>
  <si>
    <t>E13</t>
  </si>
  <si>
    <t>3-03-25436$1628_C01.fsa</t>
  </si>
  <si>
    <t>25436$1629</t>
  </si>
  <si>
    <t>G13</t>
  </si>
  <si>
    <t>3-04-25436$1629_D01.fsa</t>
  </si>
  <si>
    <t>25436$1630</t>
  </si>
  <si>
    <t>PLATE4</t>
  </si>
  <si>
    <t>I13</t>
  </si>
  <si>
    <t>3-05-25436$1630_E01.fsa</t>
  </si>
  <si>
    <t>25436$1631</t>
  </si>
  <si>
    <t>K13</t>
  </si>
  <si>
    <t>3-06-25436$1631_F01.fsa</t>
  </si>
  <si>
    <t>25436$1632</t>
  </si>
  <si>
    <t>M13</t>
  </si>
  <si>
    <t>3-07-25436$1632_G01.fsa</t>
  </si>
  <si>
    <t>25436$1633</t>
  </si>
  <si>
    <t>O13</t>
  </si>
  <si>
    <t>3-08-25436$1633_H01.fsa</t>
  </si>
  <si>
    <t>25436$1634</t>
  </si>
  <si>
    <t>B13</t>
  </si>
  <si>
    <t>3-09-25436$1634_A02.fsa</t>
  </si>
  <si>
    <t>25436$1635</t>
  </si>
  <si>
    <t>D13</t>
  </si>
  <si>
    <t>3-10-25436$1635_B02.fsa</t>
  </si>
  <si>
    <t>25436$1636</t>
  </si>
  <si>
    <t>F13</t>
  </si>
  <si>
    <t>3-11-25436$1636_C02.fsa</t>
  </si>
  <si>
    <t>25436$1637</t>
  </si>
  <si>
    <t>H13</t>
  </si>
  <si>
    <t>3-12-25436$1637_D02.fsa</t>
  </si>
  <si>
    <t>25436$1638</t>
  </si>
  <si>
    <t>J13</t>
  </si>
  <si>
    <t>3-13-25436$1638_E02.fsa</t>
  </si>
  <si>
    <t>25436$1639</t>
  </si>
  <si>
    <t>L13</t>
  </si>
  <si>
    <t>3-14-25436$1639_F02.fsa</t>
  </si>
  <si>
    <t>25436$1640</t>
  </si>
  <si>
    <t>N13</t>
  </si>
  <si>
    <t>3-15-25436$1640_G02.fsa</t>
  </si>
  <si>
    <t>25436$1641</t>
  </si>
  <si>
    <t>P13</t>
  </si>
  <si>
    <t>3-16-25436$1641_H02.fsa</t>
  </si>
  <si>
    <t>25436$1642</t>
  </si>
  <si>
    <t>A14</t>
  </si>
  <si>
    <t>3-17-25436$1642_A03.fsa</t>
  </si>
  <si>
    <t>25436$1643</t>
  </si>
  <si>
    <t>C14</t>
  </si>
  <si>
    <t>3-18-25436$1643_B03.fsa</t>
  </si>
  <si>
    <t>25436$1644</t>
  </si>
  <si>
    <t>E14</t>
  </si>
  <si>
    <t>3-19-25436$1644_C03.fsa</t>
  </si>
  <si>
    <t>25436$1645</t>
  </si>
  <si>
    <t>G14</t>
  </si>
  <si>
    <t>3-20-25436$1645_D03.fsa</t>
  </si>
  <si>
    <t>25436$1646</t>
  </si>
  <si>
    <t>I14</t>
  </si>
  <si>
    <t>3-21-25436$1646_E03.fsa</t>
  </si>
  <si>
    <t>25436$1647</t>
  </si>
  <si>
    <t>K14</t>
  </si>
  <si>
    <t>3-22-25436$1647_F03.fsa</t>
  </si>
  <si>
    <t>25436$1648</t>
  </si>
  <si>
    <t>M14</t>
  </si>
  <si>
    <t>3-23-25436$1648_G03.fsa</t>
  </si>
  <si>
    <t>25436$1649</t>
  </si>
  <si>
    <t>O14</t>
  </si>
  <si>
    <t>3-24-25436$1649_H03.fsa</t>
  </si>
  <si>
    <t>25436$1650</t>
  </si>
  <si>
    <t>B14</t>
  </si>
  <si>
    <t>3-25-25436$1650_A04.fsa</t>
  </si>
  <si>
    <t>25436$1651</t>
  </si>
  <si>
    <t>D14</t>
  </si>
  <si>
    <t>3-26-25436$1651_B04.fsa</t>
  </si>
  <si>
    <t>25436$1652</t>
  </si>
  <si>
    <t>F14</t>
  </si>
  <si>
    <t>3-27-25436$1652_C04.fsa</t>
  </si>
  <si>
    <t>25436$1653</t>
  </si>
  <si>
    <t>H14</t>
  </si>
  <si>
    <t>3-28-25436$1653_D04.fsa</t>
  </si>
  <si>
    <t>25436$1654</t>
  </si>
  <si>
    <t>J14</t>
  </si>
  <si>
    <t>3-29-25436$1654_E04.fsa</t>
  </si>
  <si>
    <t>25436$1655</t>
  </si>
  <si>
    <t>L14</t>
  </si>
  <si>
    <t>3-30-25436$1655_F04.fsa</t>
  </si>
  <si>
    <t>25436$1656</t>
  </si>
  <si>
    <t>N14</t>
  </si>
  <si>
    <t>3-31-25436$1656_G04.fsa</t>
  </si>
  <si>
    <t>25436$1657</t>
  </si>
  <si>
    <t>P14</t>
  </si>
  <si>
    <t>3-32-25436$1657_H04.fsa</t>
  </si>
  <si>
    <t>25436$1658</t>
  </si>
  <si>
    <t>A15</t>
  </si>
  <si>
    <t>3-33-25436$1658_A05.fsa</t>
  </si>
  <si>
    <t>25436$1659</t>
  </si>
  <si>
    <t>C15</t>
  </si>
  <si>
    <t>3-34-25436$1659_B05.fsa</t>
  </si>
  <si>
    <t>25436$1660</t>
  </si>
  <si>
    <t>E15</t>
  </si>
  <si>
    <t>3-35-25436$1660_C05.fsa</t>
  </si>
  <si>
    <t>25436$1661</t>
  </si>
  <si>
    <t>G15</t>
  </si>
  <si>
    <t>3-36-25436$1661_D05.fsa</t>
  </si>
  <si>
    <t>25436$1662</t>
  </si>
  <si>
    <t>I15</t>
  </si>
  <si>
    <t>3-37-25436$1662_E05.fsa</t>
  </si>
  <si>
    <t>25436$1663</t>
  </si>
  <si>
    <t>K15</t>
  </si>
  <si>
    <t>3-38-25436$1663_F05.fsa</t>
  </si>
  <si>
    <t>25436$1664</t>
  </si>
  <si>
    <t>M15</t>
  </si>
  <si>
    <t>3-39-25436$1664_G05.fsa</t>
  </si>
  <si>
    <t>25436$1665</t>
  </si>
  <si>
    <t>O15</t>
  </si>
  <si>
    <t>3-40-25436$1665_H05.fsa</t>
  </si>
  <si>
    <t>25436$1666</t>
  </si>
  <si>
    <t>B15</t>
  </si>
  <si>
    <t>3-41-25436$1666_A06.fsa</t>
  </si>
  <si>
    <t>25436$1667</t>
  </si>
  <si>
    <t>D15</t>
  </si>
  <si>
    <t>3-42-25436$1667_B06.fsa</t>
  </si>
  <si>
    <t>25436$1668</t>
  </si>
  <si>
    <t>F15</t>
  </si>
  <si>
    <t>3-43-25436$1668_C06.fsa</t>
  </si>
  <si>
    <t>25436$1669</t>
  </si>
  <si>
    <t>H15</t>
  </si>
  <si>
    <t>3-44-25436$1669_D06.fsa</t>
  </si>
  <si>
    <t>25436$1670</t>
  </si>
  <si>
    <t>J15</t>
  </si>
  <si>
    <t>3-45-25436$1670_E06.fsa</t>
  </si>
  <si>
    <t>25436$1671</t>
  </si>
  <si>
    <t>L15</t>
  </si>
  <si>
    <t>3-46-25436$1671_F06.fsa</t>
  </si>
  <si>
    <t>25436$1672</t>
  </si>
  <si>
    <t>N15</t>
  </si>
  <si>
    <t>3-47-25436$1672_G06.fsa</t>
  </si>
  <si>
    <t>25436$1673</t>
  </si>
  <si>
    <t>P15</t>
  </si>
  <si>
    <t>3-48-25436$1673_H06.fsa</t>
  </si>
  <si>
    <t>25436$1674</t>
  </si>
  <si>
    <t>A16</t>
  </si>
  <si>
    <t>3-49-25436$1674_A07.fsa</t>
  </si>
  <si>
    <t>25436$1675</t>
  </si>
  <si>
    <t>C16</t>
  </si>
  <si>
    <t>3-50-25436$1675_B07.fsa</t>
  </si>
  <si>
    <t>25436$1676</t>
  </si>
  <si>
    <t>E16</t>
  </si>
  <si>
    <t>3-51-25436$1676_C07.fsa</t>
  </si>
  <si>
    <t>25436$1677</t>
  </si>
  <si>
    <t>G16</t>
  </si>
  <si>
    <t>3-52-25436$1677_D07.fsa</t>
  </si>
  <si>
    <t>25436$1678</t>
  </si>
  <si>
    <t>I16</t>
  </si>
  <si>
    <t>3-53-25436$1678_E07.fsa</t>
  </si>
  <si>
    <t>25436$1679</t>
  </si>
  <si>
    <t>K16</t>
  </si>
  <si>
    <t>3-54-25436$1679_F07.fsa</t>
  </si>
  <si>
    <t>25436$1680</t>
  </si>
  <si>
    <t>M16</t>
  </si>
  <si>
    <t>3-55-25436$1680_G07.fsa</t>
  </si>
  <si>
    <t>25436$1681</t>
  </si>
  <si>
    <t>O16</t>
  </si>
  <si>
    <t>3-56-25436$1681_H07.fsa</t>
  </si>
  <si>
    <t>25436$1682</t>
  </si>
  <si>
    <t>B16</t>
  </si>
  <si>
    <t>3-57-25436$1682_A08.fsa</t>
  </si>
  <si>
    <t>25436$1683</t>
  </si>
  <si>
    <t>D16</t>
  </si>
  <si>
    <t>3-58-25436$1683_B08.fsa</t>
  </si>
  <si>
    <t>25436$1684</t>
  </si>
  <si>
    <t>F16</t>
  </si>
  <si>
    <t>3-59-25436$1684_C08.fsa</t>
  </si>
  <si>
    <t>25436$1685</t>
  </si>
  <si>
    <t>H16</t>
  </si>
  <si>
    <t>3-60-25436$1685_D08.fsa</t>
  </si>
  <si>
    <t>25436$1686</t>
  </si>
  <si>
    <t>J16</t>
  </si>
  <si>
    <t>3-61-25436$1686_E08.fsa</t>
  </si>
  <si>
    <t>25436$1687</t>
  </si>
  <si>
    <t>L16</t>
  </si>
  <si>
    <t>3-62-25436$1687_F08.fsa</t>
  </si>
  <si>
    <t>25436$1688</t>
  </si>
  <si>
    <t>N16</t>
  </si>
  <si>
    <t>3-63-25436$1688_G08.fsa</t>
  </si>
  <si>
    <t>25436$1689</t>
  </si>
  <si>
    <t>P16</t>
  </si>
  <si>
    <t>3-64-25436$1689_H08.fsa</t>
  </si>
  <si>
    <t>25436$1690</t>
  </si>
  <si>
    <t>A17</t>
  </si>
  <si>
    <t>3-65-25436$1690_A09.fsa</t>
  </si>
  <si>
    <t>25436$1691</t>
  </si>
  <si>
    <t>C17</t>
  </si>
  <si>
    <t>3-66-25436$1691_B09.fsa</t>
  </si>
  <si>
    <t>25436$1692</t>
  </si>
  <si>
    <t>E17</t>
  </si>
  <si>
    <t>3-67-25436$1692_C09.fsa</t>
  </si>
  <si>
    <t>25436$1693</t>
  </si>
  <si>
    <t>G17</t>
  </si>
  <si>
    <t>3-68-25436$1693_D09.fsa</t>
  </si>
  <si>
    <t>25436$1694</t>
  </si>
  <si>
    <t>I17</t>
  </si>
  <si>
    <t>3-69-25436$1694_E09.fsa</t>
  </si>
  <si>
    <t>25436$1695</t>
  </si>
  <si>
    <t>K17</t>
  </si>
  <si>
    <t>3-70-25436$1695_F09.fsa</t>
  </si>
  <si>
    <t>25436$1696</t>
  </si>
  <si>
    <t>M17</t>
  </si>
  <si>
    <t>3-71-25436$1696_G09.fsa</t>
  </si>
  <si>
    <t>25436$1697</t>
  </si>
  <si>
    <t>O17</t>
  </si>
  <si>
    <t>3-72-25436$1697_H09.fsa</t>
  </si>
  <si>
    <t>25436$1698</t>
  </si>
  <si>
    <t>B17</t>
  </si>
  <si>
    <t>3-73-25436$1698_A10.fsa</t>
  </si>
  <si>
    <t>25436$1699</t>
  </si>
  <si>
    <t>D17</t>
  </si>
  <si>
    <t>3-74-25436$1699_B10.fsa</t>
  </si>
  <si>
    <t>25436$1700</t>
  </si>
  <si>
    <t>F17</t>
  </si>
  <si>
    <t>3-75-25436$1700_C10.fsa</t>
  </si>
  <si>
    <t>25436$1701</t>
  </si>
  <si>
    <t>H17</t>
  </si>
  <si>
    <t>3-76-25436$1701_D10.fsa</t>
  </si>
  <si>
    <t>25436$1702</t>
  </si>
  <si>
    <t>J17</t>
  </si>
  <si>
    <t>3-77-25436$1702_E10.fsa</t>
  </si>
  <si>
    <t>25436$1703</t>
  </si>
  <si>
    <t>L17</t>
  </si>
  <si>
    <t>3-78-25436$1703_F10.fsa</t>
  </si>
  <si>
    <t>25436$1704</t>
  </si>
  <si>
    <t>N17</t>
  </si>
  <si>
    <t>3-79-25436$1704_G10.fsa</t>
  </si>
  <si>
    <t>25436$1705</t>
  </si>
  <si>
    <t>P17</t>
  </si>
  <si>
    <t>3-80-25436$1705_H10.fsa</t>
  </si>
  <si>
    <t>25436$1706</t>
  </si>
  <si>
    <t>A18</t>
  </si>
  <si>
    <t>3-81-25436$1706_A11.fsa</t>
  </si>
  <si>
    <t>25436$1707</t>
  </si>
  <si>
    <t>C18</t>
  </si>
  <si>
    <t>3-82-25436$1707_B11.fsa</t>
  </si>
  <si>
    <t>25436$1708</t>
  </si>
  <si>
    <t>E18</t>
  </si>
  <si>
    <t>3-83-25436$1708_C11.fsa</t>
  </si>
  <si>
    <t>25436$1709</t>
  </si>
  <si>
    <t>G18</t>
  </si>
  <si>
    <t>3-84-25436$1709_D11.fsa</t>
  </si>
  <si>
    <t>25436$1710</t>
  </si>
  <si>
    <t>I18</t>
  </si>
  <si>
    <t>3-85-25436$1710_E11.fsa</t>
  </si>
  <si>
    <t>25436$1711</t>
  </si>
  <si>
    <t>K18</t>
  </si>
  <si>
    <t>3-86-25436$1711_F11.fsa</t>
  </si>
  <si>
    <t>25436$1712</t>
  </si>
  <si>
    <t>M18</t>
  </si>
  <si>
    <t>3-87-25436$1712_G11.fsa</t>
  </si>
  <si>
    <t>25437$1713</t>
  </si>
  <si>
    <t>A19</t>
  </si>
  <si>
    <t>4-01-25437$1713_A01.fsa</t>
  </si>
  <si>
    <t>25437$1714</t>
  </si>
  <si>
    <t>C19</t>
  </si>
  <si>
    <t>4-02-25437$1714_B01.fsa</t>
  </si>
  <si>
    <t>25437$1715</t>
  </si>
  <si>
    <t>E19</t>
  </si>
  <si>
    <t>4-03-25437$1715_C01.fsa</t>
  </si>
  <si>
    <t>25437$1716</t>
  </si>
  <si>
    <t>G19</t>
  </si>
  <si>
    <t>4-04-25437$1716_D01.fsa</t>
  </si>
  <si>
    <t>25437$1717</t>
  </si>
  <si>
    <t>I19</t>
  </si>
  <si>
    <t>4-05-25437$1717_E01.fsa</t>
  </si>
  <si>
    <t>25437$1718</t>
  </si>
  <si>
    <t>K19</t>
  </si>
  <si>
    <t>4-06-25437$1718_F01.fsa</t>
  </si>
  <si>
    <t>25437$1719</t>
  </si>
  <si>
    <t>M19</t>
  </si>
  <si>
    <t>4-07-25437$1719_G01.fsa</t>
  </si>
  <si>
    <t>25437$1720</t>
  </si>
  <si>
    <t>O19</t>
  </si>
  <si>
    <t>4-08-25437$1720_H01.fsa</t>
  </si>
  <si>
    <t>25437$1721</t>
  </si>
  <si>
    <t>B19</t>
  </si>
  <si>
    <t>4-09-25437$1721_A02.fsa</t>
  </si>
  <si>
    <t>25437$1722</t>
  </si>
  <si>
    <t>D19</t>
  </si>
  <si>
    <t>4-10-25437$1722_B02.fsa</t>
  </si>
  <si>
    <t>25437$1723</t>
  </si>
  <si>
    <t>F19</t>
  </si>
  <si>
    <t>4-11-25437$1723_C02.fsa</t>
  </si>
  <si>
    <t>25437$1724</t>
  </si>
  <si>
    <t>H19</t>
  </si>
  <si>
    <t>4-12-25437$1724_D02.fsa</t>
  </si>
  <si>
    <t>25437$1725</t>
  </si>
  <si>
    <t>J19</t>
  </si>
  <si>
    <t>4-13-25437$1725_E02.fsa</t>
  </si>
  <si>
    <t>25437$1726</t>
  </si>
  <si>
    <t>L19</t>
  </si>
  <si>
    <t>4-14-25437$1726_F02.fsa</t>
  </si>
  <si>
    <t>25437$1727</t>
  </si>
  <si>
    <t>N19</t>
  </si>
  <si>
    <t>4-15-25437$1727_G02.fsa</t>
  </si>
  <si>
    <t>25437$1728</t>
  </si>
  <si>
    <t>P19</t>
  </si>
  <si>
    <t>4-16-25437$1728_H02.fsa</t>
  </si>
  <si>
    <t>25437$1729</t>
  </si>
  <si>
    <t>A20</t>
  </si>
  <si>
    <t>4-17-25437$1729_A03.fsa</t>
  </si>
  <si>
    <t>25437$1730</t>
  </si>
  <si>
    <t>C20</t>
  </si>
  <si>
    <t>4-18-25437$1730_B03.fsa</t>
  </si>
  <si>
    <t>25437$1731</t>
  </si>
  <si>
    <t>E20</t>
  </si>
  <si>
    <t>4-19-25437$1731_C03.fsa</t>
  </si>
  <si>
    <t>25437$1732</t>
  </si>
  <si>
    <t>G20</t>
  </si>
  <si>
    <t>4-20-25437$1732_D03.fsa</t>
  </si>
  <si>
    <t>25437$1733</t>
  </si>
  <si>
    <t>I20</t>
  </si>
  <si>
    <t>4-21-25437$1733_E03.fsa</t>
  </si>
  <si>
    <t>25437$1734</t>
  </si>
  <si>
    <t>K20</t>
  </si>
  <si>
    <t>4-22-25437$1734_F03.fsa</t>
  </si>
  <si>
    <t>25437$1735</t>
  </si>
  <si>
    <t>M20</t>
  </si>
  <si>
    <t>4-23-25437$1735_G03.fsa</t>
  </si>
  <si>
    <t>25437$1736</t>
  </si>
  <si>
    <t>O20</t>
  </si>
  <si>
    <t>4-24-25437$1736_H03.fsa</t>
  </si>
  <si>
    <t>25437$1737</t>
  </si>
  <si>
    <t>B20</t>
  </si>
  <si>
    <t>4-25-25437$1737_A04.fsa</t>
  </si>
  <si>
    <t>25437$1738</t>
  </si>
  <si>
    <t>D20</t>
  </si>
  <si>
    <t>4-26-25437$1738_B04.fsa</t>
  </si>
  <si>
    <t>25437$1739</t>
  </si>
  <si>
    <t>F20</t>
  </si>
  <si>
    <t>4-27-25437$1739_C04.fsa</t>
  </si>
  <si>
    <t>25437$1740</t>
  </si>
  <si>
    <t>H20</t>
  </si>
  <si>
    <t>4-28-25437$1740_D04.fsa</t>
  </si>
  <si>
    <t>25437$1741</t>
  </si>
  <si>
    <t>J20</t>
  </si>
  <si>
    <t>4-29-25437$1741_E04.fsa</t>
  </si>
  <si>
    <t>25437$1742</t>
  </si>
  <si>
    <t>L20</t>
  </si>
  <si>
    <t>4-30-25437$1742_F04.fsa</t>
  </si>
  <si>
    <t>25437$1743</t>
  </si>
  <si>
    <t>N20</t>
  </si>
  <si>
    <t>4-31-25437$1743_G04.fsa</t>
  </si>
  <si>
    <t>25437$1744</t>
  </si>
  <si>
    <t>P20</t>
  </si>
  <si>
    <t>4-32-25437$1744_H04.fsa</t>
  </si>
  <si>
    <t>25437$1745</t>
  </si>
  <si>
    <t>A21</t>
  </si>
  <si>
    <t>4-33-25437$1745_A05.fsa</t>
  </si>
  <si>
    <t>25437$1746</t>
  </si>
  <si>
    <t>C21</t>
  </si>
  <si>
    <t>4-34-25437$1746_B05.fsa</t>
  </si>
  <si>
    <t>25437$1747</t>
  </si>
  <si>
    <t>E21</t>
  </si>
  <si>
    <t>4-35-25437$1747_C05.fsa</t>
  </si>
  <si>
    <t>25437$1748</t>
  </si>
  <si>
    <t>G21</t>
  </si>
  <si>
    <t>4-36-25437$1748_D05.fsa</t>
  </si>
  <si>
    <t>25437$1749</t>
  </si>
  <si>
    <t>I21</t>
  </si>
  <si>
    <t>4-37-25437$1749_E05.fsa</t>
  </si>
  <si>
    <t>25437$1750</t>
  </si>
  <si>
    <t>K21</t>
  </si>
  <si>
    <t>4-38-25437$1750_F05.fsa</t>
  </si>
  <si>
    <t>25437$1751</t>
  </si>
  <si>
    <t>M21</t>
  </si>
  <si>
    <t>4-39-25437$1751_G05.fsa</t>
  </si>
  <si>
    <t>25437$1752</t>
  </si>
  <si>
    <t>O21</t>
  </si>
  <si>
    <t>4-40-25437$1752_H05.fsa</t>
  </si>
  <si>
    <t>25437$1753</t>
  </si>
  <si>
    <t>B21</t>
  </si>
  <si>
    <t>4-41-25437$1753_A06.fsa</t>
  </si>
  <si>
    <t>25437$1754</t>
  </si>
  <si>
    <t>D21</t>
  </si>
  <si>
    <t>4-42-25437$1754_B06.fsa</t>
  </si>
  <si>
    <t>25437$1755</t>
  </si>
  <si>
    <t>F21</t>
  </si>
  <si>
    <t>4-43-25437$1755_C06.fsa</t>
  </si>
  <si>
    <t>25437$1756</t>
  </si>
  <si>
    <t>H21</t>
  </si>
  <si>
    <t>4-44-25437$1756_D06.fsa</t>
  </si>
  <si>
    <t>25437$1757</t>
  </si>
  <si>
    <t>J21</t>
  </si>
  <si>
    <t>4-45-25437$1757_E06.fsa</t>
  </si>
  <si>
    <t>25437$1758</t>
  </si>
  <si>
    <t>L21</t>
  </si>
  <si>
    <t>4-46-25437$1758_F06.fsa</t>
  </si>
  <si>
    <t>25437$1759</t>
  </si>
  <si>
    <t>N21</t>
  </si>
  <si>
    <t>4-47-25437$1759_G06.fsa</t>
  </si>
  <si>
    <t>25437$1760</t>
  </si>
  <si>
    <t>P21</t>
  </si>
  <si>
    <t>4-48-25437$1760_H06.fsa</t>
  </si>
  <si>
    <t>25437$1761</t>
  </si>
  <si>
    <t>A22</t>
  </si>
  <si>
    <t>4-49-25437$1761_A07.fsa</t>
  </si>
  <si>
    <t>C22</t>
  </si>
  <si>
    <t>4-50-R62+_B07.fsa</t>
  </si>
  <si>
    <t>R62+</t>
  </si>
  <si>
    <t>E22</t>
  </si>
  <si>
    <t>4-51-NTC_C07.fsa</t>
  </si>
  <si>
    <t>NTC</t>
  </si>
  <si>
    <t>G22</t>
  </si>
  <si>
    <t>4-52-_D07.fsa</t>
  </si>
  <si>
    <t>x</t>
  </si>
  <si>
    <t>25437$1151</t>
  </si>
  <si>
    <t>B22</t>
  </si>
  <si>
    <t>4-57-25437$1151_A08.fsa</t>
  </si>
  <si>
    <t>25437$1152</t>
  </si>
  <si>
    <t>D22</t>
  </si>
  <si>
    <t>4-58-25437$1152_B08.fsa</t>
  </si>
  <si>
    <t>25437$1153</t>
  </si>
  <si>
    <t>F22</t>
  </si>
  <si>
    <t>4-59-25437$1153_C08.fsa</t>
  </si>
  <si>
    <t>25437$1154</t>
  </si>
  <si>
    <t>H22</t>
  </si>
  <si>
    <t>4-60-25437$1154_D08.fsa</t>
  </si>
  <si>
    <t>25437$1155</t>
  </si>
  <si>
    <t>J22</t>
  </si>
  <si>
    <t>4-61-25437$1155_E08.fsa</t>
  </si>
  <si>
    <t>25437$1156</t>
  </si>
  <si>
    <t>L22</t>
  </si>
  <si>
    <t>4-62-25437$1156_F08.fsa</t>
  </si>
  <si>
    <t>25437$1157</t>
  </si>
  <si>
    <t>N22</t>
  </si>
  <si>
    <t>4-63-25437$1157_G08.fsa</t>
  </si>
  <si>
    <t>25437$1158</t>
  </si>
  <si>
    <t>P22</t>
  </si>
  <si>
    <t>4-64-25437$1158_H08.fsa</t>
  </si>
  <si>
    <t>25437$1159</t>
  </si>
  <si>
    <t>A23</t>
  </si>
  <si>
    <t>4-65-25437$1159_A09.fsa</t>
  </si>
  <si>
    <t>25437$1160</t>
  </si>
  <si>
    <t>C23</t>
  </si>
  <si>
    <t>4-66-25437$1160_B09.fsa</t>
  </si>
  <si>
    <t>25437$1161</t>
  </si>
  <si>
    <t>E23</t>
  </si>
  <si>
    <t>4-67-25437$1161_C09.fsa</t>
  </si>
  <si>
    <t>25437$1162</t>
  </si>
  <si>
    <t>G23</t>
  </si>
  <si>
    <t>4-68-25437$1162_D09.fsa</t>
  </si>
  <si>
    <t>25437$1163</t>
  </si>
  <si>
    <t>I23</t>
  </si>
  <si>
    <t>4-69-25437$1163_E09.fsa</t>
  </si>
  <si>
    <t>25437$1164</t>
  </si>
  <si>
    <t>K23</t>
  </si>
  <si>
    <t>4-70-25437$1164_F09.fsa</t>
  </si>
  <si>
    <t>25437$1165</t>
  </si>
  <si>
    <t>M23</t>
  </si>
  <si>
    <t>4-71-25437$1165_G09.fsa</t>
  </si>
  <si>
    <t>25437$1166</t>
  </si>
  <si>
    <t>O23</t>
  </si>
  <si>
    <t>4-72-25437$1166_H09.fsa</t>
  </si>
  <si>
    <t>25437$1167</t>
  </si>
  <si>
    <t>B23</t>
  </si>
  <si>
    <t>4-73-25437$1167_A10.fsa</t>
  </si>
  <si>
    <t>25437$1168</t>
  </si>
  <si>
    <t>D23</t>
  </si>
  <si>
    <t>4-74-25437$1168_B10.fsa</t>
  </si>
  <si>
    <t>25437$1169</t>
  </si>
  <si>
    <t>F23</t>
  </si>
  <si>
    <t>4-75-25437$1169_C10.fsa</t>
  </si>
  <si>
    <t>25437$1170</t>
  </si>
  <si>
    <t>H23</t>
  </si>
  <si>
    <t>4-76-25437$1170_D10.fsa</t>
  </si>
  <si>
    <t>25437$1171</t>
  </si>
  <si>
    <t>J23</t>
  </si>
  <si>
    <t>4-77-25437$1171_E10.fsa</t>
  </si>
  <si>
    <t>25437$1172</t>
  </si>
  <si>
    <t>L23</t>
  </si>
  <si>
    <t>4-78-25437$1172_F10.fsa</t>
  </si>
  <si>
    <t>25437$1173</t>
  </si>
  <si>
    <t>N23</t>
  </si>
  <si>
    <t>4-79-25437$1173_G10.fsa</t>
  </si>
  <si>
    <t>P23</t>
  </si>
  <si>
    <t>4-80-_H10.fsa</t>
  </si>
  <si>
    <t>25437$1585</t>
  </si>
  <si>
    <t>A24</t>
  </si>
  <si>
    <t>4-81-25437$1585_A11.fsa</t>
  </si>
  <si>
    <t>25437$1586</t>
  </si>
  <si>
    <t>C24</t>
  </si>
  <si>
    <t>4-82-25437$1586_B11.fsa</t>
  </si>
  <si>
    <t>25437$1587</t>
  </si>
  <si>
    <t>E24</t>
  </si>
  <si>
    <t>4-83-25437$1587_C11.fsa</t>
  </si>
  <si>
    <t>25437$1588</t>
  </si>
  <si>
    <t>G24</t>
  </si>
  <si>
    <t>4-84-25437$1588_D11.fsa</t>
  </si>
  <si>
    <t>25437$1589</t>
  </si>
  <si>
    <t>I24</t>
  </si>
  <si>
    <t>4-85-25437$1589_E11.fsa</t>
  </si>
  <si>
    <t>25437$1590</t>
  </si>
  <si>
    <t>K24</t>
  </si>
  <si>
    <t>4-86-25437$1590_F11.fsa</t>
  </si>
  <si>
    <t>25437$1591</t>
  </si>
  <si>
    <t>M24</t>
  </si>
  <si>
    <t>4-87-25437$1591_G11.fsa</t>
  </si>
  <si>
    <t>25437$1592</t>
  </si>
  <si>
    <t>O24</t>
  </si>
  <si>
    <t>4-88-25437$1592_H11.fsa</t>
  </si>
  <si>
    <t>25437$1593</t>
  </si>
  <si>
    <t>B24</t>
  </si>
  <si>
    <t>4-89-25437$1593_A12.fsa</t>
  </si>
  <si>
    <t>25437$1594</t>
  </si>
  <si>
    <t>D24</t>
  </si>
  <si>
    <t>4-90-25437$1594_B12.fsa</t>
  </si>
  <si>
    <t>25437$1595</t>
  </si>
  <si>
    <t>F24</t>
  </si>
  <si>
    <t>4-91-25437$1595_C12.fsa</t>
  </si>
  <si>
    <t>25437$1596</t>
  </si>
  <si>
    <t>H24</t>
  </si>
  <si>
    <t>4-92-25437$1596_D12.fsa</t>
  </si>
  <si>
    <t>skewed</t>
  </si>
  <si>
    <t>1-01-25434$1501_A01.fsa</t>
  </si>
  <si>
    <t>1-02-25434$1502_B01.fsa</t>
  </si>
  <si>
    <t>1-03-25434$1503_C01.fsa</t>
  </si>
  <si>
    <t>1-04-25434$1504_D01.fsa</t>
  </si>
  <si>
    <t>1-05-25434$1505_E01.fsa</t>
  </si>
  <si>
    <t>1-06-25434$1506_F01.fsa</t>
  </si>
  <si>
    <t>1-07-25434$1507_G01.fsa</t>
  </si>
  <si>
    <t>1-08-25434$1508_H01.fsa</t>
  </si>
  <si>
    <t>1-09-25434$1509_A02.fsa</t>
  </si>
  <si>
    <t>1-10-25434$1510_B02.fsa</t>
  </si>
  <si>
    <t>1-11-25434$1511_C02.fsa</t>
  </si>
  <si>
    <t>1-12-25434$1512_D02.fsa</t>
  </si>
  <si>
    <t>1-13-25434$1513_E02.fsa</t>
  </si>
  <si>
    <t>1-14-25434$1514_F02.fsa</t>
  </si>
  <si>
    <t>1-15-25434$1515_G02.fsa</t>
  </si>
  <si>
    <t>1-16-25434$1516_H02.fsa</t>
  </si>
  <si>
    <t>1-17-25434$1517_A03.fsa</t>
  </si>
  <si>
    <t>1-18-25434$1518_B03.fsa</t>
  </si>
  <si>
    <t>1-19-25434$1519_C03.fsa</t>
  </si>
  <si>
    <t>1-20-25434$1520_D03.fsa</t>
  </si>
  <si>
    <t>1-21-25434$1521_E03.fsa</t>
  </si>
  <si>
    <t>1-22-25434$1522_F03.fsa</t>
  </si>
  <si>
    <t>1-23-25434$1523_G03.fsa</t>
  </si>
  <si>
    <t>1-24-25434$1524_H03.fsa</t>
  </si>
  <si>
    <t>1-25-25434$1525_A04.fsa</t>
  </si>
  <si>
    <t>1-26-25434$1526_B04.fsa</t>
  </si>
  <si>
    <t>1-27-25434$1527_C04.fsa</t>
  </si>
  <si>
    <t>1-28-25434$1528_D04.fsa</t>
  </si>
  <si>
    <t>1-29-25434$1529_E04.fsa</t>
  </si>
  <si>
    <t>1-30-25434$1530_F04.fsa</t>
  </si>
  <si>
    <t>1-31-25434$1531_G04.fsa</t>
  </si>
  <si>
    <t>1-32-25434$1532_H04.fsa</t>
  </si>
  <si>
    <t>1-33-25434$1533_A05.fsa</t>
  </si>
  <si>
    <t>1-34-25434$1534_B05.fsa</t>
  </si>
  <si>
    <t>1-35-25434$1535_C05.fsa</t>
  </si>
  <si>
    <t>1-36-25434$1536_D05.fsa</t>
  </si>
  <si>
    <t>1-37-25434$1537_E05.fsa</t>
  </si>
  <si>
    <t>1-38-25434$1538_F05.fsa</t>
  </si>
  <si>
    <t>1-39-25434$1539_G05.fsa</t>
  </si>
  <si>
    <t>1-40-25434$1540_H05.fsa</t>
  </si>
  <si>
    <t>1-41-25434$1541_A06.fsa</t>
  </si>
  <si>
    <t>1-42-25434$1542_B06.fsa</t>
  </si>
  <si>
    <t>1-43-25434$1543_C06.fsa</t>
  </si>
  <si>
    <t>1-44-25434$1544_D06.fsa</t>
  </si>
  <si>
    <t>1-45-25434$1545_E06.fsa</t>
  </si>
  <si>
    <t>1-46-25434$1546_F06.fsa</t>
  </si>
  <si>
    <t>1-47-25434$1547_G06.fsa</t>
  </si>
  <si>
    <t>1-48-25434$1548_H06.fsa</t>
  </si>
  <si>
    <t>1-49-25434$1549_A07.fsa</t>
  </si>
  <si>
    <t>1-50-25434$1550_B07.fsa</t>
  </si>
  <si>
    <t>1-51-25434$1551_C07.fsa</t>
  </si>
  <si>
    <t>1-52-25434$1552_D07.fsa</t>
  </si>
  <si>
    <t>1-53-25434$1553_E07.fsa</t>
  </si>
  <si>
    <t>1-54-25434$1554_F07.fsa</t>
  </si>
  <si>
    <t>1-55-25434$1555_G07.fsa</t>
  </si>
  <si>
    <t>1-56-25434$1556_H07.fsa</t>
  </si>
  <si>
    <t>1-57-25434$1557_A08.fsa</t>
  </si>
  <si>
    <t>1-58-25434$1558_B08.fsa</t>
  </si>
  <si>
    <t>1-59-25434$1559_C08.fsa</t>
  </si>
  <si>
    <t>1-60-25434$1560_D08.fsa</t>
  </si>
  <si>
    <t>1-61-25434$1561_E08.fsa</t>
  </si>
  <si>
    <t>1-62-25434$1562_F08.fsa</t>
  </si>
  <si>
    <t>1-63-25434$1563_G08.fsa</t>
  </si>
  <si>
    <t>1-64-25434$1564_H08.fsa</t>
  </si>
  <si>
    <t>1-65-25434$1565_A09.fsa</t>
  </si>
  <si>
    <t>1-66-25434$1566_B09.fsa</t>
  </si>
  <si>
    <t>1-67-25434$1567_C09.fsa</t>
  </si>
  <si>
    <t>1-68-25434$1568_D09.fsa</t>
  </si>
  <si>
    <t>1-69-25434$1569_E09.fsa</t>
  </si>
  <si>
    <t>1-70-25434$1570_F09.fsa</t>
  </si>
  <si>
    <t>1-71-25434$1571_G09.fsa</t>
  </si>
  <si>
    <t>1-72-25434$1572_H09.fsa</t>
  </si>
  <si>
    <t>1-73-25434$1573_A10.fsa</t>
  </si>
  <si>
    <t>1-74-25434$1574_B10.fsa</t>
  </si>
  <si>
    <t>1-75-25434$1575_C10.fsa</t>
  </si>
  <si>
    <t>1-76-25434$1576_D10.fsa</t>
  </si>
  <si>
    <t>1-77-25434$1577_E10.fsa</t>
  </si>
  <si>
    <t>1-78-25434$1578_F10.fsa</t>
  </si>
  <si>
    <t>1-79-25434$1579_G10.fsa</t>
  </si>
  <si>
    <t>1-80-25434$1580_H10.fsa</t>
  </si>
  <si>
    <t>1-81-25434$1581_A11.fsa</t>
  </si>
  <si>
    <t>1-82-25434$1582_B11.fsa</t>
  </si>
  <si>
    <t>1-83-25434$1583_C11.fsa</t>
  </si>
  <si>
    <t>1-84-25434$1584_D11.fsa</t>
  </si>
  <si>
    <t>2-01-25435$3174_A01.fsa</t>
  </si>
  <si>
    <t>2-02-25435$3175_B01.fsa</t>
  </si>
  <si>
    <t>2-03-25435$3176_C01.fsa</t>
  </si>
  <si>
    <t>2-04-25435$3177_D01.fsa</t>
  </si>
  <si>
    <t>2-05-25435$3178_E01.fsa</t>
  </si>
  <si>
    <t>2-06-25435$3179_F01.fsa</t>
  </si>
  <si>
    <t>2-07-25435$3180_G01.fsa</t>
  </si>
  <si>
    <t>2-08-25435$3181_H01.fsa</t>
  </si>
  <si>
    <t>2-09-25435$3182_A02.fsa</t>
  </si>
  <si>
    <t>2-10-25435$3183_B02.fsa</t>
  </si>
  <si>
    <t>2-11-25435$3184_C02.fsa</t>
  </si>
  <si>
    <t>2-12-25435$3185_D02.fsa</t>
  </si>
  <si>
    <t>2-13-25435$3186_E02.fsa</t>
  </si>
  <si>
    <t>2-14-25435$3187_F02.fsa</t>
  </si>
  <si>
    <t>2-15-25435$3188_G02.fsa</t>
  </si>
  <si>
    <t>2-16-25435$3189_H02.fsa</t>
  </si>
  <si>
    <t>2-17-25435$3190_A03.fsa</t>
  </si>
  <si>
    <t>2-18-25435$3191_B03.fsa</t>
  </si>
  <si>
    <t>2-19-25435$3192_C03.fsa</t>
  </si>
  <si>
    <t>2-20-25435$3193_D03.fsa</t>
  </si>
  <si>
    <t>2-21-25435$3194_E03.fsa</t>
  </si>
  <si>
    <t>2-22-25435$3195_F03.fsa</t>
  </si>
  <si>
    <t>2-23-25435$3196_G03.fsa</t>
  </si>
  <si>
    <t>2-24-25435$3197_H03.fsa</t>
  </si>
  <si>
    <t>2-25-25435$3198_A04.fsa</t>
  </si>
  <si>
    <t>2-26-25435$3199_B04.fsa</t>
  </si>
  <si>
    <t>2-27-25435$3200_C04.fsa</t>
  </si>
  <si>
    <t>2-28-25435$3201_D04.fsa</t>
  </si>
  <si>
    <t>2-29-25435$3202_E04.fsa</t>
  </si>
  <si>
    <t>2-30-25435$3203_F04.fsa</t>
  </si>
  <si>
    <t>2-31-25435$3204_G04.fsa</t>
  </si>
  <si>
    <t>2-32-25435$3205_H04.fsa</t>
  </si>
  <si>
    <t>2-33-25435$3206_A05.fsa</t>
  </si>
  <si>
    <t>2-34-25435$3207_B05.fsa</t>
  </si>
  <si>
    <t>2-35-25435$3208_C05.fsa</t>
  </si>
  <si>
    <t>2-36-25435$3209_D05.fsa</t>
  </si>
  <si>
    <t>2-37-25435$3212_E05.fsa</t>
  </si>
  <si>
    <t>2-38-25435$3213_F05.fsa</t>
  </si>
  <si>
    <t>2-39-25435$3214_G05.fsa</t>
  </si>
  <si>
    <t>2-40-25435$3215_H05.fsa</t>
  </si>
  <si>
    <t>2-41-25435$3216_A06.fsa</t>
  </si>
  <si>
    <t>2-42-25435$3217_B06.fsa</t>
  </si>
  <si>
    <t>2-43-25435$3218_C06.fsa</t>
  </si>
  <si>
    <t>2-44-25435$3219_D06.fsa</t>
  </si>
  <si>
    <t>2-45-25435$3220_E06.fsa</t>
  </si>
  <si>
    <t>2-46-25435$3221_F06.fsa</t>
  </si>
  <si>
    <t>2-47-25435$3222_G06.fsa</t>
  </si>
  <si>
    <t>2-48-25435$3223_H06.fsa</t>
  </si>
  <si>
    <t>2-49-25435$3224_A07.fsa</t>
  </si>
  <si>
    <t>2-50-25435$3225_B07.fsa</t>
  </si>
  <si>
    <t>2-51-25435$3226_C07.fsa</t>
  </si>
  <si>
    <t>2-52-25435$3227_D07.fsa</t>
  </si>
  <si>
    <t>2-53-25435$3228_E07.fsa</t>
  </si>
  <si>
    <t>2-54-25435$3229_F07.fsa</t>
  </si>
  <si>
    <t>2-55-25435$3230_G07.fsa</t>
  </si>
  <si>
    <t>2-56-25435$3231_H07.fsa</t>
  </si>
  <si>
    <t>2-57-25435$3232_A08.fsa</t>
  </si>
  <si>
    <t>2-58-25435$3233_B08.fsa</t>
  </si>
  <si>
    <t>2-59-25435$3234_C08.fsa</t>
  </si>
  <si>
    <t>2-60-25435$3235_D08.fsa</t>
  </si>
  <si>
    <t>2-61-25435$3236_E08.fsa</t>
  </si>
  <si>
    <t>2-62-25435$3237_F08.fsa</t>
  </si>
  <si>
    <t>2-63-25435$3238_G08.fsa</t>
  </si>
  <si>
    <t>2-64-25435$3239_H08.fsa</t>
  </si>
  <si>
    <t>2-65-25435$3240_A09.fsa</t>
  </si>
  <si>
    <t>2-66-25435$3241_B09.fsa</t>
  </si>
  <si>
    <t>2-67-25435$3242_C09.fsa</t>
  </si>
  <si>
    <t>2-68-25435$3243_D09.fsa</t>
  </si>
  <si>
    <t>2-69-25435$3244_E09.fsa</t>
  </si>
  <si>
    <t>2-70-25435$3245_F09.fsa</t>
  </si>
  <si>
    <t>2-71-25435$3246_G09.fsa</t>
  </si>
  <si>
    <t>2-72-25435$3247_H09.fsa</t>
  </si>
  <si>
    <t>2-73-25435$3248_A10.fsa</t>
  </si>
  <si>
    <t>2-74-25435$3249_B10.fsa</t>
  </si>
  <si>
    <t>2-75-25435$3250_C10.fsa</t>
  </si>
  <si>
    <t>2-76-25435$3251_D10.fsa</t>
  </si>
  <si>
    <t>2-77-25435$3252_E10.fsa</t>
  </si>
  <si>
    <t>2-78-25435$3253_F10.fsa</t>
  </si>
  <si>
    <t>Inconclusive</t>
  </si>
  <si>
    <t>NO CAG</t>
  </si>
  <si>
    <t>rt</t>
  </si>
  <si>
    <t>HDH140Q</t>
  </si>
  <si>
    <t>LacO positive</t>
  </si>
  <si>
    <t>PCR1</t>
  </si>
  <si>
    <t>PCR2</t>
  </si>
  <si>
    <t>Size1</t>
  </si>
  <si>
    <t>Size2</t>
  </si>
  <si>
    <t>GM</t>
  </si>
  <si>
    <t>Seq</t>
  </si>
  <si>
    <t>GM2</t>
  </si>
  <si>
    <t>Seq2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</si>
</sst>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</cellStyleXfs>
  <cellXfs count="42">
    <xf numFmtId="0" fontId="0" fillId="0" borderId="0" xfId="0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2" xfId="0" applyNumberFormat="1" applyBorder="1"/>
    <xf numFmtId="164" fontId="0" fillId="33" borderId="12" xfId="0" applyNumberFormat="1" applyFill="1" applyBorder="1" applyAlignment="1">
      <alignment horizontal="center"/>
    </xf>
    <xf numFmtId="164" fontId="0" fillId="3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12" xfId="0" applyBorder="1" applyAlignment="1">
      <alignment horizontal="left"/>
    </xf>
    <xf numFmtId="0" fontId="19" fillId="0" borderId="0" xfId="0" applyFont="1"/>
    <xf numFmtId="0" fontId="1" fillId="0" borderId="0" xfId="42"/>
    <xf numFmtId="164" fontId="0" fillId="0" borderId="17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Border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8" xfId="0" applyBorder="1" applyAlignment="1">
      <alignment horizontal="center"/>
    </xf>
    <xf numFmtId="0" fontId="19" fillId="0" borderId="12" xfId="0" applyFont="1" applyBorder="1"/>
    <xf numFmtId="0" fontId="1" fillId="0" borderId="12" xfId="42" applyBorder="1" applyAlignment="1">
      <alignment horizontal="center"/>
    </xf>
    <xf numFmtId="1" fontId="1" fillId="0" borderId="12" xfId="42" applyNumberFormat="1" applyBorder="1" applyAlignment="1">
      <alignment horizontal="center"/>
    </xf>
    <xf numFmtId="2" fontId="1" fillId="0" borderId="12" xfId="42" applyNumberFormat="1" applyBorder="1" applyAlignment="1">
      <alignment horizontal="center"/>
    </xf>
    <xf numFmtId="0" fontId="14" fillId="34" borderId="12" xfId="0" applyFont="1" applyFill="1" applyBorder="1" applyAlignment="1">
      <alignment horizontal="center"/>
    </xf>
    <xf numFmtId="0" fontId="14" fillId="34" borderId="12" xfId="0" applyFont="1" applyFill="1" applyBorder="1"/>
    <xf numFmtId="2" fontId="0" fillId="0" borderId="12" xfId="42" applyNumberFormat="1" applyFont="1" applyBorder="1" applyAlignment="1">
      <alignment horizontal="center"/>
    </xf>
    <xf numFmtId="0" fontId="19" fillId="0" borderId="0" xfId="0" applyFont="1" applyBorder="1"/>
    <xf numFmtId="0" fontId="19" fillId="0" borderId="12" xfId="0" applyFont="1" applyBorder="1" applyAlignment="1">
      <alignment horizontal="left"/>
    </xf>
    <xf numFmtId="0" fontId="1" fillId="0" borderId="12" xfId="42" applyBorder="1" applyAlignment="1">
      <alignment horizontal="left"/>
    </xf>
    <xf numFmtId="0" fontId="14" fillId="34" borderId="12" xfId="0" applyFont="1" applyFill="1" applyBorder="1" applyAlignment="1">
      <alignment horizontal="left"/>
    </xf>
    <xf numFmtId="2" fontId="1" fillId="0" borderId="12" xfId="42" applyNumberFormat="1" applyBorder="1" applyAlignment="1">
      <alignment horizontal="left"/>
    </xf>
    <xf numFmtId="0" fontId="19" fillId="0" borderId="0" xfId="0" applyFont="1" applyBorder="1" applyAlignment="1">
      <alignment horizontal="left"/>
    </xf>
    <xf numFmtId="0" fontId="19" fillId="0" borderId="0" xfId="0" applyFont="1" applyAlignment="1">
      <alignment horizontal="left"/>
    </xf>
    <xf numFmtId="1" fontId="0" fillId="0" borderId="12" xfId="0" applyNumberFormat="1" applyBorder="1"/>
    <xf numFmtId="0" fontId="16" fillId="0" borderId="12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color auto="1"/>
      </font>
      <fill>
        <patternFill>
          <fgColor indexed="64"/>
          <bgColor theme="0" tint="-0.24994659260841701"/>
        </patternFill>
      </fill>
    </dxf>
    <dxf>
      <font>
        <color auto="1"/>
      </font>
      <fill>
        <patternFill>
          <fgColor indexed="64"/>
          <bgColor theme="0" tint="-0.24994659260841701"/>
        </patternFill>
      </fill>
    </dxf>
    <dxf>
      <font>
        <color rgb="FFFF0000"/>
      </font>
    </dxf>
    <dxf>
      <font>
        <color auto="1"/>
      </font>
      <fill>
        <patternFill>
          <fgColor indexed="64"/>
          <bgColor theme="0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color auto="1"/>
      </font>
      <fill>
        <patternFill>
          <fgColor indexed="64"/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372"/>
  <sheetViews>
    <sheetView tabSelected="1" topLeftCell="M1" zoomScale="85" zoomScaleNormal="85" workbookViewId="0">
      <pane ySplit="1" topLeftCell="A2" activePane="bottomLeft" state="frozen"/>
      <selection pane="bottomLeft" activeCell="S1" sqref="S1:AF1048576"/>
    </sheetView>
  </sheetViews>
  <sheetFormatPr defaultColWidth="8.85546875" defaultRowHeight="15" x14ac:dyDescent="0.25"/>
  <cols>
    <col min="1" max="1" width="9.85546875" style="6" bestFit="1" customWidth="1"/>
    <col min="2" max="2" width="12" style="6" bestFit="1" customWidth="1"/>
    <col min="3" max="3" width="5.140625" style="6" bestFit="1" customWidth="1"/>
    <col min="4" max="4" width="13.42578125" style="6" bestFit="1" customWidth="1"/>
    <col min="5" max="5" width="8.85546875" style="7" bestFit="1" customWidth="1"/>
    <col min="6" max="6" width="8.42578125" style="7" bestFit="1" customWidth="1"/>
    <col min="7" max="7" width="5.140625" style="14" bestFit="1" customWidth="1"/>
    <col min="8" max="8" width="4.7109375" style="6" bestFit="1" customWidth="1"/>
    <col min="9" max="10" width="7.140625" style="6" bestFit="1" customWidth="1"/>
    <col min="11" max="11" width="6.42578125" style="6" bestFit="1" customWidth="1"/>
    <col min="12" max="12" width="8.28515625" style="6" bestFit="1" customWidth="1"/>
    <col min="13" max="13" width="9.42578125" style="6" bestFit="1" customWidth="1"/>
    <col min="14" max="14" width="7.42578125" style="6" bestFit="1" customWidth="1"/>
    <col min="15" max="15" width="6.42578125" style="6" bestFit="1" customWidth="1"/>
    <col min="17" max="17" width="8.85546875" bestFit="1" customWidth="1"/>
    <col min="19" max="19" width="13.42578125" style="6" bestFit="1" customWidth="1"/>
    <col min="20" max="20" width="5.42578125" bestFit="1" customWidth="1"/>
    <col min="21" max="21" width="7.140625" style="6" bestFit="1" customWidth="1"/>
    <col min="22" max="22" width="8.85546875" style="7" customWidth="1"/>
    <col min="23" max="23" width="8.42578125" style="7" customWidth="1"/>
    <col min="24" max="24" width="9.42578125" customWidth="1"/>
    <col min="25" max="25" width="8.7109375" customWidth="1"/>
    <col min="26" max="26" width="3.28515625" style="15" customWidth="1"/>
    <col min="27" max="27" width="6.28515625" customWidth="1"/>
    <col min="28" max="28" width="24.7109375" customWidth="1"/>
    <col min="29" max="29" width="13.42578125" customWidth="1"/>
    <col min="30" max="30" width="7.140625" bestFit="1" customWidth="1"/>
    <col min="31" max="31" width="6.140625" customWidth="1"/>
    <col min="32" max="32" width="9" bestFit="1" customWidth="1"/>
    <col min="33" max="33" width="12" bestFit="1" customWidth="1"/>
    <col min="34" max="34" width="3.28515625" bestFit="1" customWidth="1"/>
    <col min="37" max="37" width="8.85546875" customWidth="1"/>
    <col min="38" max="38" width="5.140625" bestFit="1" customWidth="1"/>
    <col min="39" max="39" width="8" style="15" bestFit="1" customWidth="1"/>
    <col min="40" max="40" width="10" style="15" bestFit="1" customWidth="1"/>
    <col min="41" max="41" width="10.140625" style="15" bestFit="1" customWidth="1"/>
    <col min="42" max="42" width="7.140625" style="15" bestFit="1" customWidth="1"/>
    <col min="43" max="43" width="10" customWidth="1"/>
    <col min="44" max="44" width="10.140625" bestFit="1" customWidth="1"/>
    <col min="45" max="45" width="7.140625" style="6" bestFit="1" customWidth="1"/>
  </cols>
  <sheetData>
    <row r="1" spans="1:45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5" t="s">
        <v>5</v>
      </c>
      <c r="G1" s="1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t="s">
        <v>15</v>
      </c>
      <c r="Q1" s="8" t="s">
        <v>16</v>
      </c>
      <c r="S1" s="9" t="s">
        <v>3</v>
      </c>
      <c r="T1" t="s">
        <v>17</v>
      </c>
      <c r="U1" s="10" t="s">
        <v>8</v>
      </c>
      <c r="V1" s="11" t="s">
        <v>4</v>
      </c>
      <c r="W1" s="11" t="s">
        <v>5</v>
      </c>
      <c r="X1" t="s">
        <v>12</v>
      </c>
      <c r="Y1" s="1" t="s">
        <v>18</v>
      </c>
      <c r="Z1" s="15" t="s">
        <v>19</v>
      </c>
      <c r="AB1" s="18" t="s">
        <v>20</v>
      </c>
      <c r="AC1" s="25" t="s">
        <v>3</v>
      </c>
      <c r="AD1" s="26" t="s">
        <v>1067</v>
      </c>
      <c r="AE1" s="26" t="s">
        <v>1068</v>
      </c>
      <c r="AF1" s="26" t="s">
        <v>21</v>
      </c>
      <c r="AG1" s="26" t="s">
        <v>22</v>
      </c>
      <c r="AH1" s="17" t="s">
        <v>19</v>
      </c>
      <c r="AL1" s="41" t="s">
        <v>17</v>
      </c>
      <c r="AM1" s="41" t="s">
        <v>1065</v>
      </c>
      <c r="AN1" s="41" t="s">
        <v>1069</v>
      </c>
      <c r="AO1" s="41" t="s">
        <v>1070</v>
      </c>
      <c r="AP1" s="41" t="s">
        <v>1066</v>
      </c>
      <c r="AQ1" s="41" t="s">
        <v>1071</v>
      </c>
      <c r="AR1" s="41" t="s">
        <v>1072</v>
      </c>
      <c r="AS1" s="41" t="s">
        <v>8</v>
      </c>
    </row>
    <row r="2" spans="1:45" x14ac:dyDescent="0.25">
      <c r="A2" s="4"/>
      <c r="B2" s="4"/>
      <c r="C2" s="4">
        <v>1</v>
      </c>
      <c r="D2" s="4" t="s">
        <v>23</v>
      </c>
      <c r="E2" s="5">
        <v>24.225000000000001</v>
      </c>
      <c r="F2" s="5">
        <v>26.186</v>
      </c>
      <c r="G2" s="13" t="s">
        <v>24</v>
      </c>
      <c r="H2" s="5" t="s">
        <v>24</v>
      </c>
      <c r="I2" s="4" t="s">
        <v>25</v>
      </c>
      <c r="J2" s="4"/>
      <c r="K2" s="4" t="s">
        <v>26</v>
      </c>
      <c r="L2" s="4">
        <v>1</v>
      </c>
      <c r="M2" s="4" t="str">
        <f t="shared" ref="M2:M65" si="0">CONCATENATE(K2,L2)</f>
        <v>A1</v>
      </c>
      <c r="N2" s="4" t="s">
        <v>27</v>
      </c>
      <c r="O2" s="4">
        <v>1</v>
      </c>
      <c r="P2">
        <v>1</v>
      </c>
      <c r="Q2" t="s">
        <v>28</v>
      </c>
      <c r="R2" t="b">
        <f t="shared" ref="R2:R65" si="1">D2=S2</f>
        <v>1</v>
      </c>
      <c r="S2" s="4" t="s">
        <v>23</v>
      </c>
      <c r="T2" s="3">
        <v>1501</v>
      </c>
      <c r="U2" s="4" t="s">
        <v>25</v>
      </c>
      <c r="V2" s="5">
        <v>24.225000000000001</v>
      </c>
      <c r="W2" s="5">
        <v>26.186</v>
      </c>
      <c r="X2" s="3" t="s">
        <v>29</v>
      </c>
      <c r="Y2" s="12">
        <f t="shared" ref="Y2:Y65" si="2">V2-W2</f>
        <v>-1.9609999999999985</v>
      </c>
      <c r="AA2" t="b">
        <f t="shared" ref="AA2:AA65" si="3">S2=AC2</f>
        <v>1</v>
      </c>
      <c r="AB2" s="19" t="s">
        <v>898</v>
      </c>
      <c r="AC2" s="19" t="s">
        <v>23</v>
      </c>
      <c r="AD2" s="27">
        <v>673.7</v>
      </c>
      <c r="AE2" s="27"/>
      <c r="AF2" s="28">
        <v>107</v>
      </c>
      <c r="AG2" s="28">
        <v>2404</v>
      </c>
      <c r="AH2" s="27"/>
      <c r="AL2" s="3">
        <v>1501</v>
      </c>
      <c r="AM2" s="35">
        <v>673.7</v>
      </c>
      <c r="AN2" s="40">
        <f>(AM2-122)/3</f>
        <v>183.9</v>
      </c>
      <c r="AO2" s="40">
        <f>AN2*1.0425+1.2088</f>
        <v>192.92455000000001</v>
      </c>
      <c r="AP2" s="35"/>
      <c r="AQ2" s="3"/>
      <c r="AR2" s="3"/>
      <c r="AS2" s="4" t="s">
        <v>25</v>
      </c>
    </row>
    <row r="3" spans="1:45" x14ac:dyDescent="0.25">
      <c r="A3" s="4"/>
      <c r="B3" s="4"/>
      <c r="C3" s="4">
        <v>49</v>
      </c>
      <c r="D3" s="4" t="s">
        <v>30</v>
      </c>
      <c r="E3" s="5">
        <v>23.728999999999999</v>
      </c>
      <c r="F3" s="5" t="s">
        <v>31</v>
      </c>
      <c r="G3" s="13" t="s">
        <v>24</v>
      </c>
      <c r="H3" s="5" t="s">
        <v>31</v>
      </c>
      <c r="I3" s="5" t="s">
        <v>31</v>
      </c>
      <c r="J3" s="4"/>
      <c r="K3" s="4" t="s">
        <v>32</v>
      </c>
      <c r="L3" s="4">
        <v>1</v>
      </c>
      <c r="M3" s="4" t="str">
        <f t="shared" si="0"/>
        <v>C1</v>
      </c>
      <c r="N3" s="4" t="s">
        <v>27</v>
      </c>
      <c r="O3" s="4">
        <v>3</v>
      </c>
      <c r="P3">
        <v>2</v>
      </c>
      <c r="Q3" t="s">
        <v>28</v>
      </c>
      <c r="R3" t="b">
        <f t="shared" si="1"/>
        <v>1</v>
      </c>
      <c r="S3" s="4" t="s">
        <v>30</v>
      </c>
      <c r="T3" s="3">
        <v>1502</v>
      </c>
      <c r="U3" s="4" t="s">
        <v>31</v>
      </c>
      <c r="V3" s="5">
        <v>23.728999999999999</v>
      </c>
      <c r="W3" s="5" t="s">
        <v>31</v>
      </c>
      <c r="X3" s="3" t="s">
        <v>33</v>
      </c>
      <c r="Y3" s="12" t="e">
        <f t="shared" si="2"/>
        <v>#VALUE!</v>
      </c>
      <c r="AA3" t="b">
        <f t="shared" si="3"/>
        <v>1</v>
      </c>
      <c r="AB3" s="19" t="s">
        <v>899</v>
      </c>
      <c r="AC3" s="19" t="s">
        <v>30</v>
      </c>
      <c r="AD3" s="27"/>
      <c r="AE3" s="27"/>
      <c r="AF3" s="28"/>
      <c r="AG3" s="28"/>
      <c r="AH3" s="27"/>
      <c r="AL3" s="3">
        <v>1502</v>
      </c>
      <c r="AM3" s="35"/>
      <c r="AN3" s="17"/>
      <c r="AO3" s="17"/>
      <c r="AP3" s="35"/>
      <c r="AQ3" s="3"/>
      <c r="AR3" s="3"/>
      <c r="AS3" s="4" t="s">
        <v>31</v>
      </c>
    </row>
    <row r="4" spans="1:45" x14ac:dyDescent="0.25">
      <c r="A4" s="4"/>
      <c r="B4" s="4"/>
      <c r="C4" s="4">
        <v>97</v>
      </c>
      <c r="D4" s="4" t="s">
        <v>34</v>
      </c>
      <c r="E4" s="5">
        <v>24.81</v>
      </c>
      <c r="F4" s="5">
        <v>26.972999999999999</v>
      </c>
      <c r="G4" s="13" t="s">
        <v>24</v>
      </c>
      <c r="H4" s="5" t="s">
        <v>24</v>
      </c>
      <c r="I4" s="4" t="s">
        <v>25</v>
      </c>
      <c r="J4" s="4"/>
      <c r="K4" s="4" t="s">
        <v>35</v>
      </c>
      <c r="L4" s="4">
        <v>1</v>
      </c>
      <c r="M4" s="4" t="str">
        <f t="shared" si="0"/>
        <v>E1</v>
      </c>
      <c r="N4" s="4" t="s">
        <v>27</v>
      </c>
      <c r="O4" s="4">
        <v>5</v>
      </c>
      <c r="P4">
        <v>3</v>
      </c>
      <c r="Q4" t="s">
        <v>28</v>
      </c>
      <c r="R4" t="b">
        <f t="shared" si="1"/>
        <v>1</v>
      </c>
      <c r="S4" s="4" t="s">
        <v>34</v>
      </c>
      <c r="T4" s="3">
        <v>1503</v>
      </c>
      <c r="U4" s="4" t="s">
        <v>25</v>
      </c>
      <c r="V4" s="5">
        <v>24.81</v>
      </c>
      <c r="W4" s="5">
        <v>26.972999999999999</v>
      </c>
      <c r="X4" s="3" t="s">
        <v>36</v>
      </c>
      <c r="Y4" s="12">
        <f t="shared" si="2"/>
        <v>-2.1630000000000003</v>
      </c>
      <c r="AA4" t="b">
        <f t="shared" si="3"/>
        <v>1</v>
      </c>
      <c r="AB4" s="19" t="s">
        <v>900</v>
      </c>
      <c r="AC4" s="19" t="s">
        <v>34</v>
      </c>
      <c r="AD4" s="27">
        <v>702.57</v>
      </c>
      <c r="AE4" s="27"/>
      <c r="AF4" s="28">
        <v>80</v>
      </c>
      <c r="AG4" s="28">
        <v>1867</v>
      </c>
      <c r="AH4" s="27"/>
      <c r="AL4" s="3">
        <v>1503</v>
      </c>
      <c r="AM4" s="35">
        <v>702.57</v>
      </c>
      <c r="AN4" s="40">
        <f>(AM4-122)/3</f>
        <v>193.52333333333334</v>
      </c>
      <c r="AO4" s="40">
        <f>AN4*1.0425+1.2088</f>
        <v>202.956875</v>
      </c>
      <c r="AP4" s="35"/>
      <c r="AQ4" s="3"/>
      <c r="AR4" s="3"/>
      <c r="AS4" s="4" t="s">
        <v>25</v>
      </c>
    </row>
    <row r="5" spans="1:45" x14ac:dyDescent="0.25">
      <c r="A5" s="4"/>
      <c r="B5" s="4"/>
      <c r="C5" s="4">
        <v>145</v>
      </c>
      <c r="D5" s="4" t="s">
        <v>37</v>
      </c>
      <c r="E5" s="5">
        <v>25.558</v>
      </c>
      <c r="F5" s="5">
        <v>27.733000000000001</v>
      </c>
      <c r="G5" s="13" t="s">
        <v>24</v>
      </c>
      <c r="H5" s="5" t="s">
        <v>24</v>
      </c>
      <c r="I5" s="4" t="s">
        <v>25</v>
      </c>
      <c r="J5" s="4"/>
      <c r="K5" s="4" t="s">
        <v>38</v>
      </c>
      <c r="L5" s="4">
        <v>1</v>
      </c>
      <c r="M5" s="4" t="str">
        <f t="shared" si="0"/>
        <v>G1</v>
      </c>
      <c r="N5" s="4" t="s">
        <v>27</v>
      </c>
      <c r="O5" s="4">
        <v>7</v>
      </c>
      <c r="P5">
        <v>4</v>
      </c>
      <c r="Q5" t="s">
        <v>28</v>
      </c>
      <c r="R5" t="b">
        <f t="shared" si="1"/>
        <v>1</v>
      </c>
      <c r="S5" s="4" t="s">
        <v>37</v>
      </c>
      <c r="T5" s="3">
        <v>1504</v>
      </c>
      <c r="U5" s="4" t="s">
        <v>25</v>
      </c>
      <c r="V5" s="5">
        <v>25.558</v>
      </c>
      <c r="W5" s="5">
        <v>27.733000000000001</v>
      </c>
      <c r="X5" s="3" t="s">
        <v>39</v>
      </c>
      <c r="Y5" s="12">
        <f t="shared" si="2"/>
        <v>-2.1750000000000007</v>
      </c>
      <c r="AA5" t="b">
        <f t="shared" si="3"/>
        <v>1</v>
      </c>
      <c r="AB5" s="19" t="s">
        <v>901</v>
      </c>
      <c r="AC5" s="19" t="s">
        <v>37</v>
      </c>
      <c r="AD5" s="27">
        <v>662.09</v>
      </c>
      <c r="AE5" s="27"/>
      <c r="AF5" s="28">
        <v>105</v>
      </c>
      <c r="AG5" s="28">
        <v>2290</v>
      </c>
      <c r="AH5" s="27"/>
      <c r="AL5" s="3">
        <v>1504</v>
      </c>
      <c r="AM5" s="35">
        <v>662.09</v>
      </c>
      <c r="AN5" s="40">
        <f>(AM5-122)/3</f>
        <v>180.03</v>
      </c>
      <c r="AO5" s="40">
        <f>AN5*1.0425+1.2088</f>
        <v>188.890075</v>
      </c>
      <c r="AP5" s="35"/>
      <c r="AQ5" s="3"/>
      <c r="AR5" s="3"/>
      <c r="AS5" s="4" t="s">
        <v>25</v>
      </c>
    </row>
    <row r="6" spans="1:45" x14ac:dyDescent="0.25">
      <c r="A6" s="4"/>
      <c r="B6" s="4"/>
      <c r="C6" s="4">
        <v>193</v>
      </c>
      <c r="D6" s="4" t="s">
        <v>40</v>
      </c>
      <c r="E6" s="5">
        <v>24.535</v>
      </c>
      <c r="F6" s="5">
        <v>26.667999999999999</v>
      </c>
      <c r="G6" s="13" t="s">
        <v>24</v>
      </c>
      <c r="H6" s="5" t="s">
        <v>24</v>
      </c>
      <c r="I6" s="4" t="s">
        <v>25</v>
      </c>
      <c r="J6" s="4"/>
      <c r="K6" s="4" t="s">
        <v>41</v>
      </c>
      <c r="L6" s="4">
        <v>1</v>
      </c>
      <c r="M6" s="4" t="str">
        <f t="shared" si="0"/>
        <v>I1</v>
      </c>
      <c r="N6" s="4" t="s">
        <v>42</v>
      </c>
      <c r="O6" s="4">
        <v>97</v>
      </c>
      <c r="P6">
        <v>5</v>
      </c>
      <c r="Q6" t="s">
        <v>28</v>
      </c>
      <c r="R6" t="b">
        <f t="shared" si="1"/>
        <v>1</v>
      </c>
      <c r="S6" s="4" t="s">
        <v>40</v>
      </c>
      <c r="T6" s="3">
        <v>1505</v>
      </c>
      <c r="U6" s="4" t="s">
        <v>25</v>
      </c>
      <c r="V6" s="5">
        <v>24.535</v>
      </c>
      <c r="W6" s="5">
        <v>26.667999999999999</v>
      </c>
      <c r="X6" s="3" t="s">
        <v>43</v>
      </c>
      <c r="Y6" s="12">
        <f t="shared" si="2"/>
        <v>-2.1329999999999991</v>
      </c>
      <c r="AA6" t="b">
        <f t="shared" si="3"/>
        <v>1</v>
      </c>
      <c r="AB6" s="19" t="s">
        <v>902</v>
      </c>
      <c r="AC6" s="19" t="s">
        <v>40</v>
      </c>
      <c r="AD6" s="27">
        <v>696.58</v>
      </c>
      <c r="AE6" s="27"/>
      <c r="AF6" s="28"/>
      <c r="AG6" s="28"/>
      <c r="AH6" s="27"/>
      <c r="AL6" s="3">
        <v>1505</v>
      </c>
      <c r="AM6" s="35">
        <v>696.58</v>
      </c>
      <c r="AN6" s="40">
        <f>(AM6-122)/3</f>
        <v>191.52666666666667</v>
      </c>
      <c r="AO6" s="40">
        <f>AN6*1.0425+1.2088</f>
        <v>200.87535</v>
      </c>
      <c r="AP6" s="35"/>
      <c r="AQ6" s="3"/>
      <c r="AR6" s="3"/>
      <c r="AS6" s="4" t="s">
        <v>25</v>
      </c>
    </row>
    <row r="7" spans="1:45" x14ac:dyDescent="0.25">
      <c r="A7" s="4"/>
      <c r="B7" s="4"/>
      <c r="C7" s="4">
        <v>241</v>
      </c>
      <c r="D7" s="4" t="s">
        <v>44</v>
      </c>
      <c r="E7" s="5">
        <v>23.9</v>
      </c>
      <c r="F7" s="5" t="s">
        <v>31</v>
      </c>
      <c r="G7" s="13" t="s">
        <v>24</v>
      </c>
      <c r="H7" s="5" t="s">
        <v>31</v>
      </c>
      <c r="I7" s="5" t="s">
        <v>31</v>
      </c>
      <c r="J7" s="4"/>
      <c r="K7" s="4" t="s">
        <v>45</v>
      </c>
      <c r="L7" s="4">
        <v>1</v>
      </c>
      <c r="M7" s="4" t="str">
        <f t="shared" si="0"/>
        <v>K1</v>
      </c>
      <c r="N7" s="4" t="s">
        <v>42</v>
      </c>
      <c r="O7" s="4">
        <v>99</v>
      </c>
      <c r="P7">
        <v>6</v>
      </c>
      <c r="Q7" t="s">
        <v>28</v>
      </c>
      <c r="R7" t="b">
        <f t="shared" si="1"/>
        <v>1</v>
      </c>
      <c r="S7" s="4" t="s">
        <v>44</v>
      </c>
      <c r="T7" s="3">
        <v>1506</v>
      </c>
      <c r="U7" s="4" t="s">
        <v>31</v>
      </c>
      <c r="V7" s="5">
        <v>23.9</v>
      </c>
      <c r="W7" s="5" t="s">
        <v>31</v>
      </c>
      <c r="X7" s="3" t="s">
        <v>46</v>
      </c>
      <c r="Y7" s="12" t="e">
        <f t="shared" si="2"/>
        <v>#VALUE!</v>
      </c>
      <c r="AA7" t="b">
        <f t="shared" si="3"/>
        <v>1</v>
      </c>
      <c r="AB7" s="19" t="s">
        <v>903</v>
      </c>
      <c r="AC7" s="19" t="s">
        <v>44</v>
      </c>
      <c r="AD7" s="27"/>
      <c r="AE7" s="27"/>
      <c r="AF7" s="28"/>
      <c r="AG7" s="28"/>
      <c r="AH7" s="27"/>
      <c r="AL7" s="3">
        <v>1506</v>
      </c>
      <c r="AM7" s="35"/>
      <c r="AN7" s="17"/>
      <c r="AO7" s="17"/>
      <c r="AP7" s="35"/>
      <c r="AQ7" s="3"/>
      <c r="AR7" s="3"/>
      <c r="AS7" s="4" t="s">
        <v>31</v>
      </c>
    </row>
    <row r="8" spans="1:45" x14ac:dyDescent="0.25">
      <c r="A8" s="4"/>
      <c r="B8" s="4"/>
      <c r="C8" s="4">
        <v>289</v>
      </c>
      <c r="D8" s="4" t="s">
        <v>47</v>
      </c>
      <c r="E8" s="5">
        <v>24.756</v>
      </c>
      <c r="F8" s="5">
        <v>26.856999999999999</v>
      </c>
      <c r="G8" s="13" t="s">
        <v>24</v>
      </c>
      <c r="H8" s="5" t="s">
        <v>24</v>
      </c>
      <c r="I8" s="4" t="s">
        <v>25</v>
      </c>
      <c r="J8" s="4"/>
      <c r="K8" s="4" t="s">
        <v>48</v>
      </c>
      <c r="L8" s="4">
        <v>1</v>
      </c>
      <c r="M8" s="4" t="str">
        <f t="shared" si="0"/>
        <v>M1</v>
      </c>
      <c r="N8" s="4" t="s">
        <v>42</v>
      </c>
      <c r="O8" s="4">
        <v>101</v>
      </c>
      <c r="P8">
        <v>7</v>
      </c>
      <c r="Q8" t="s">
        <v>28</v>
      </c>
      <c r="R8" t="b">
        <f t="shared" si="1"/>
        <v>1</v>
      </c>
      <c r="S8" s="4" t="s">
        <v>47</v>
      </c>
      <c r="T8" s="3">
        <v>1507</v>
      </c>
      <c r="U8" s="4" t="s">
        <v>25</v>
      </c>
      <c r="V8" s="5">
        <v>24.756</v>
      </c>
      <c r="W8" s="5">
        <v>26.856999999999999</v>
      </c>
      <c r="X8" s="3" t="s">
        <v>49</v>
      </c>
      <c r="Y8" s="12">
        <f t="shared" si="2"/>
        <v>-2.1009999999999991</v>
      </c>
      <c r="AA8" t="b">
        <f t="shared" si="3"/>
        <v>1</v>
      </c>
      <c r="AB8" s="19" t="s">
        <v>904</v>
      </c>
      <c r="AC8" s="19" t="s">
        <v>47</v>
      </c>
      <c r="AD8" s="27">
        <v>655.72</v>
      </c>
      <c r="AE8" s="27"/>
      <c r="AF8" s="28"/>
      <c r="AG8" s="28"/>
      <c r="AH8" s="27"/>
      <c r="AL8" s="3">
        <v>1507</v>
      </c>
      <c r="AM8" s="35">
        <v>655.72</v>
      </c>
      <c r="AN8" s="40">
        <f t="shared" ref="AN8:AN13" si="4">(AM8-122)/3</f>
        <v>177.90666666666667</v>
      </c>
      <c r="AO8" s="40">
        <f t="shared" ref="AO8:AO13" si="5">AN8*1.0425+1.2088</f>
        <v>186.6765</v>
      </c>
      <c r="AP8" s="35"/>
      <c r="AQ8" s="3"/>
      <c r="AR8" s="3"/>
      <c r="AS8" s="4" t="s">
        <v>25</v>
      </c>
    </row>
    <row r="9" spans="1:45" x14ac:dyDescent="0.25">
      <c r="A9" s="4"/>
      <c r="B9" s="4"/>
      <c r="C9" s="4">
        <v>337</v>
      </c>
      <c r="D9" s="4" t="s">
        <v>50</v>
      </c>
      <c r="E9" s="5">
        <v>25.254999999999999</v>
      </c>
      <c r="F9" s="5">
        <v>27.29</v>
      </c>
      <c r="G9" s="13" t="s">
        <v>24</v>
      </c>
      <c r="H9" s="5" t="s">
        <v>24</v>
      </c>
      <c r="I9" s="4" t="s">
        <v>25</v>
      </c>
      <c r="J9" s="4"/>
      <c r="K9" s="4" t="s">
        <v>51</v>
      </c>
      <c r="L9" s="4">
        <v>1</v>
      </c>
      <c r="M9" s="4" t="str">
        <f t="shared" si="0"/>
        <v>O1</v>
      </c>
      <c r="N9" s="4" t="s">
        <v>42</v>
      </c>
      <c r="O9" s="4">
        <v>103</v>
      </c>
      <c r="P9">
        <v>8</v>
      </c>
      <c r="Q9" t="s">
        <v>28</v>
      </c>
      <c r="R9" t="b">
        <f t="shared" si="1"/>
        <v>1</v>
      </c>
      <c r="S9" s="4" t="s">
        <v>50</v>
      </c>
      <c r="T9" s="3">
        <v>1508</v>
      </c>
      <c r="U9" s="4" t="s">
        <v>25</v>
      </c>
      <c r="V9" s="5">
        <v>25.254999999999999</v>
      </c>
      <c r="W9" s="5">
        <v>27.29</v>
      </c>
      <c r="X9" s="3" t="s">
        <v>52</v>
      </c>
      <c r="Y9" s="12">
        <f t="shared" si="2"/>
        <v>-2.0350000000000001</v>
      </c>
      <c r="AA9" t="b">
        <f t="shared" si="3"/>
        <v>1</v>
      </c>
      <c r="AB9" s="19" t="s">
        <v>905</v>
      </c>
      <c r="AC9" s="19" t="s">
        <v>50</v>
      </c>
      <c r="AD9" s="27">
        <v>687</v>
      </c>
      <c r="AE9" s="27"/>
      <c r="AF9" s="28"/>
      <c r="AG9" s="28"/>
      <c r="AH9" s="27"/>
      <c r="AL9" s="3">
        <v>1508</v>
      </c>
      <c r="AM9" s="35">
        <v>687</v>
      </c>
      <c r="AN9" s="40">
        <f t="shared" si="4"/>
        <v>188.33333333333334</v>
      </c>
      <c r="AO9" s="40">
        <f t="shared" si="5"/>
        <v>197.5463</v>
      </c>
      <c r="AP9" s="35"/>
      <c r="AQ9" s="3"/>
      <c r="AR9" s="3"/>
      <c r="AS9" s="4" t="s">
        <v>25</v>
      </c>
    </row>
    <row r="10" spans="1:45" x14ac:dyDescent="0.25">
      <c r="A10" s="4"/>
      <c r="B10" s="4"/>
      <c r="C10" s="4">
        <v>25</v>
      </c>
      <c r="D10" s="4" t="s">
        <v>53</v>
      </c>
      <c r="E10" s="5">
        <v>24.684000000000001</v>
      </c>
      <c r="F10" s="5">
        <v>26.619</v>
      </c>
      <c r="G10" s="13" t="s">
        <v>24</v>
      </c>
      <c r="H10" s="5" t="s">
        <v>24</v>
      </c>
      <c r="I10" s="4" t="s">
        <v>25</v>
      </c>
      <c r="J10" s="4"/>
      <c r="K10" s="4" t="s">
        <v>54</v>
      </c>
      <c r="L10" s="4">
        <v>1</v>
      </c>
      <c r="M10" s="4" t="str">
        <f t="shared" si="0"/>
        <v>B1</v>
      </c>
      <c r="N10" s="4" t="s">
        <v>27</v>
      </c>
      <c r="O10" s="4">
        <v>2</v>
      </c>
      <c r="P10">
        <v>9</v>
      </c>
      <c r="Q10" t="s">
        <v>28</v>
      </c>
      <c r="R10" t="b">
        <f t="shared" si="1"/>
        <v>1</v>
      </c>
      <c r="S10" s="4" t="s">
        <v>53</v>
      </c>
      <c r="T10" s="3">
        <v>1509</v>
      </c>
      <c r="U10" s="4" t="s">
        <v>25</v>
      </c>
      <c r="V10" s="5">
        <v>24.684000000000001</v>
      </c>
      <c r="W10" s="5">
        <v>26.619</v>
      </c>
      <c r="X10" s="3" t="s">
        <v>55</v>
      </c>
      <c r="Y10" s="12">
        <f t="shared" si="2"/>
        <v>-1.9349999999999987</v>
      </c>
      <c r="AA10" t="b">
        <f t="shared" si="3"/>
        <v>1</v>
      </c>
      <c r="AB10" s="19" t="s">
        <v>906</v>
      </c>
      <c r="AC10" s="19" t="s">
        <v>53</v>
      </c>
      <c r="AD10" s="27">
        <v>708.43</v>
      </c>
      <c r="AE10" s="27"/>
      <c r="AF10" s="28">
        <v>58</v>
      </c>
      <c r="AG10" s="28">
        <v>1299</v>
      </c>
      <c r="AH10" s="27"/>
      <c r="AL10" s="3">
        <v>1509</v>
      </c>
      <c r="AM10" s="35">
        <v>708.43</v>
      </c>
      <c r="AN10" s="40">
        <f t="shared" si="4"/>
        <v>195.47666666666666</v>
      </c>
      <c r="AO10" s="40">
        <f t="shared" si="5"/>
        <v>204.993225</v>
      </c>
      <c r="AP10" s="35"/>
      <c r="AQ10" s="3"/>
      <c r="AR10" s="3"/>
      <c r="AS10" s="4" t="s">
        <v>25</v>
      </c>
    </row>
    <row r="11" spans="1:45" x14ac:dyDescent="0.25">
      <c r="A11" s="4"/>
      <c r="B11" s="4"/>
      <c r="C11" s="4">
        <v>73</v>
      </c>
      <c r="D11" s="4" t="s">
        <v>56</v>
      </c>
      <c r="E11" s="5">
        <v>24.963999999999999</v>
      </c>
      <c r="F11" s="5">
        <v>27.15</v>
      </c>
      <c r="G11" s="13" t="s">
        <v>24</v>
      </c>
      <c r="H11" s="5" t="s">
        <v>24</v>
      </c>
      <c r="I11" s="4" t="s">
        <v>25</v>
      </c>
      <c r="J11" s="4"/>
      <c r="K11" s="4" t="s">
        <v>57</v>
      </c>
      <c r="L11" s="4">
        <v>1</v>
      </c>
      <c r="M11" s="4" t="str">
        <f t="shared" si="0"/>
        <v>D1</v>
      </c>
      <c r="N11" s="4" t="s">
        <v>27</v>
      </c>
      <c r="O11" s="4">
        <v>4</v>
      </c>
      <c r="P11">
        <v>10</v>
      </c>
      <c r="Q11" t="s">
        <v>28</v>
      </c>
      <c r="R11" t="b">
        <f t="shared" si="1"/>
        <v>1</v>
      </c>
      <c r="S11" s="4" t="s">
        <v>56</v>
      </c>
      <c r="T11" s="3">
        <v>1510</v>
      </c>
      <c r="U11" s="4" t="s">
        <v>25</v>
      </c>
      <c r="V11" s="5">
        <v>24.963999999999999</v>
      </c>
      <c r="W11" s="5">
        <v>27.15</v>
      </c>
      <c r="X11" s="3" t="s">
        <v>58</v>
      </c>
      <c r="Y11" s="12">
        <f t="shared" si="2"/>
        <v>-2.1859999999999999</v>
      </c>
      <c r="AA11" t="b">
        <f t="shared" si="3"/>
        <v>1</v>
      </c>
      <c r="AB11" s="19" t="s">
        <v>907</v>
      </c>
      <c r="AC11" s="19" t="s">
        <v>56</v>
      </c>
      <c r="AD11" s="27">
        <v>719.77</v>
      </c>
      <c r="AE11" s="27"/>
      <c r="AF11" s="28">
        <v>56</v>
      </c>
      <c r="AG11" s="28">
        <v>1130</v>
      </c>
      <c r="AH11" s="27"/>
      <c r="AL11" s="3">
        <v>1510</v>
      </c>
      <c r="AM11" s="35">
        <v>719.77</v>
      </c>
      <c r="AN11" s="40">
        <f t="shared" si="4"/>
        <v>199.25666666666666</v>
      </c>
      <c r="AO11" s="40">
        <f t="shared" si="5"/>
        <v>208.933875</v>
      </c>
      <c r="AP11" s="35"/>
      <c r="AQ11" s="3"/>
      <c r="AR11" s="3"/>
      <c r="AS11" s="4" t="s">
        <v>25</v>
      </c>
    </row>
    <row r="12" spans="1:45" x14ac:dyDescent="0.25">
      <c r="A12" s="4"/>
      <c r="B12" s="4"/>
      <c r="C12" s="4">
        <v>121</v>
      </c>
      <c r="D12" s="4" t="s">
        <v>59</v>
      </c>
      <c r="E12" s="5">
        <v>24.88</v>
      </c>
      <c r="F12" s="5">
        <v>27.106000000000002</v>
      </c>
      <c r="G12" s="13" t="s">
        <v>24</v>
      </c>
      <c r="H12" s="5" t="s">
        <v>24</v>
      </c>
      <c r="I12" s="4" t="s">
        <v>25</v>
      </c>
      <c r="J12" s="4"/>
      <c r="K12" s="4" t="s">
        <v>60</v>
      </c>
      <c r="L12" s="4">
        <v>1</v>
      </c>
      <c r="M12" s="4" t="str">
        <f t="shared" si="0"/>
        <v>F1</v>
      </c>
      <c r="N12" s="4" t="s">
        <v>27</v>
      </c>
      <c r="O12" s="4">
        <v>6</v>
      </c>
      <c r="P12">
        <v>11</v>
      </c>
      <c r="Q12" t="s">
        <v>28</v>
      </c>
      <c r="R12" t="b">
        <f t="shared" si="1"/>
        <v>1</v>
      </c>
      <c r="S12" s="4" t="s">
        <v>59</v>
      </c>
      <c r="T12" s="3">
        <v>1511</v>
      </c>
      <c r="U12" s="4" t="s">
        <v>25</v>
      </c>
      <c r="V12" s="5">
        <v>24.88</v>
      </c>
      <c r="W12" s="5">
        <v>27.106000000000002</v>
      </c>
      <c r="X12" s="3" t="s">
        <v>61</v>
      </c>
      <c r="Y12" s="12">
        <f t="shared" si="2"/>
        <v>-2.2260000000000026</v>
      </c>
      <c r="AA12" t="b">
        <f t="shared" si="3"/>
        <v>1</v>
      </c>
      <c r="AB12" s="19" t="s">
        <v>908</v>
      </c>
      <c r="AC12" s="19" t="s">
        <v>59</v>
      </c>
      <c r="AD12" s="27">
        <v>685.39</v>
      </c>
      <c r="AE12" s="27"/>
      <c r="AF12" s="28">
        <v>153</v>
      </c>
      <c r="AG12" s="28">
        <v>3823</v>
      </c>
      <c r="AH12" s="27"/>
      <c r="AL12" s="3">
        <v>1511</v>
      </c>
      <c r="AM12" s="35">
        <v>685.39</v>
      </c>
      <c r="AN12" s="40">
        <f t="shared" si="4"/>
        <v>187.79666666666665</v>
      </c>
      <c r="AO12" s="40">
        <f t="shared" si="5"/>
        <v>196.98682499999998</v>
      </c>
      <c r="AP12" s="35"/>
      <c r="AQ12" s="3"/>
      <c r="AR12" s="3"/>
      <c r="AS12" s="4" t="s">
        <v>25</v>
      </c>
    </row>
    <row r="13" spans="1:45" x14ac:dyDescent="0.25">
      <c r="A13" s="4"/>
      <c r="B13" s="4"/>
      <c r="C13" s="4">
        <v>169</v>
      </c>
      <c r="D13" s="4" t="s">
        <v>62</v>
      </c>
      <c r="E13" s="5">
        <v>39.362000000000002</v>
      </c>
      <c r="F13" s="5">
        <v>26.079000000000001</v>
      </c>
      <c r="G13" s="13" t="s">
        <v>19</v>
      </c>
      <c r="H13" s="5" t="s">
        <v>24</v>
      </c>
      <c r="I13" s="4" t="s">
        <v>63</v>
      </c>
      <c r="J13" s="4"/>
      <c r="K13" s="4" t="s">
        <v>64</v>
      </c>
      <c r="L13" s="4">
        <v>1</v>
      </c>
      <c r="M13" s="4" t="str">
        <f t="shared" si="0"/>
        <v>H1</v>
      </c>
      <c r="N13" s="4" t="s">
        <v>27</v>
      </c>
      <c r="O13" s="4">
        <v>8</v>
      </c>
      <c r="P13">
        <v>12</v>
      </c>
      <c r="Q13" t="s">
        <v>28</v>
      </c>
      <c r="R13" t="b">
        <f t="shared" si="1"/>
        <v>1</v>
      </c>
      <c r="S13" s="4" t="s">
        <v>62</v>
      </c>
      <c r="T13" s="3">
        <v>1512</v>
      </c>
      <c r="U13" s="4" t="s">
        <v>63</v>
      </c>
      <c r="V13" s="5">
        <v>39.362000000000002</v>
      </c>
      <c r="W13" s="5">
        <v>26.079000000000001</v>
      </c>
      <c r="X13" s="3" t="s">
        <v>65</v>
      </c>
      <c r="Y13" s="12">
        <f t="shared" si="2"/>
        <v>13.283000000000001</v>
      </c>
      <c r="AA13" t="b">
        <f t="shared" si="3"/>
        <v>1</v>
      </c>
      <c r="AB13" s="19" t="s">
        <v>909</v>
      </c>
      <c r="AC13" s="19" t="s">
        <v>62</v>
      </c>
      <c r="AD13" s="27">
        <v>691.27</v>
      </c>
      <c r="AE13" s="27"/>
      <c r="AF13" s="28">
        <v>135</v>
      </c>
      <c r="AG13" s="28">
        <v>2935</v>
      </c>
      <c r="AH13" s="27"/>
      <c r="AL13" s="3">
        <v>1512</v>
      </c>
      <c r="AM13" s="35">
        <v>691.27</v>
      </c>
      <c r="AN13" s="40">
        <f t="shared" si="4"/>
        <v>189.75666666666666</v>
      </c>
      <c r="AO13" s="40">
        <f t="shared" si="5"/>
        <v>199.030125</v>
      </c>
      <c r="AP13" s="35"/>
      <c r="AQ13" s="3"/>
      <c r="AR13" s="3"/>
      <c r="AS13" s="4" t="s">
        <v>63</v>
      </c>
    </row>
    <row r="14" spans="1:45" x14ac:dyDescent="0.25">
      <c r="A14" s="4"/>
      <c r="B14" s="4"/>
      <c r="C14" s="4">
        <v>217</v>
      </c>
      <c r="D14" s="4" t="s">
        <v>66</v>
      </c>
      <c r="E14" s="5">
        <v>24.204999999999998</v>
      </c>
      <c r="F14" s="5" t="s">
        <v>31</v>
      </c>
      <c r="G14" s="13" t="s">
        <v>24</v>
      </c>
      <c r="H14" s="5" t="s">
        <v>31</v>
      </c>
      <c r="I14" s="4" t="s">
        <v>31</v>
      </c>
      <c r="J14" s="4"/>
      <c r="K14" s="4" t="s">
        <v>67</v>
      </c>
      <c r="L14" s="4">
        <v>1</v>
      </c>
      <c r="M14" s="4" t="str">
        <f t="shared" si="0"/>
        <v>J1</v>
      </c>
      <c r="N14" s="4" t="s">
        <v>42</v>
      </c>
      <c r="O14" s="4">
        <v>98</v>
      </c>
      <c r="P14">
        <v>13</v>
      </c>
      <c r="Q14" t="s">
        <v>28</v>
      </c>
      <c r="R14" t="b">
        <f t="shared" si="1"/>
        <v>1</v>
      </c>
      <c r="S14" s="4" t="s">
        <v>66</v>
      </c>
      <c r="T14" s="3">
        <v>1513</v>
      </c>
      <c r="U14" s="4" t="s">
        <v>31</v>
      </c>
      <c r="V14" s="5">
        <v>24.204999999999998</v>
      </c>
      <c r="W14" s="5" t="s">
        <v>31</v>
      </c>
      <c r="X14" s="3" t="s">
        <v>68</v>
      </c>
      <c r="Y14" s="12" t="e">
        <f t="shared" si="2"/>
        <v>#VALUE!</v>
      </c>
      <c r="AA14" t="b">
        <f t="shared" si="3"/>
        <v>1</v>
      </c>
      <c r="AB14" s="19" t="s">
        <v>910</v>
      </c>
      <c r="AC14" s="19" t="s">
        <v>66</v>
      </c>
      <c r="AD14" s="27"/>
      <c r="AE14" s="27"/>
      <c r="AF14" s="28"/>
      <c r="AG14" s="28"/>
      <c r="AH14" s="27"/>
      <c r="AL14" s="3">
        <v>1513</v>
      </c>
      <c r="AM14" s="35"/>
      <c r="AN14" s="17"/>
      <c r="AO14" s="17"/>
      <c r="AP14" s="35"/>
      <c r="AQ14" s="3"/>
      <c r="AR14" s="3"/>
      <c r="AS14" s="4" t="s">
        <v>31</v>
      </c>
    </row>
    <row r="15" spans="1:45" x14ac:dyDescent="0.25">
      <c r="A15" s="4"/>
      <c r="B15" s="4"/>
      <c r="C15" s="4">
        <v>265</v>
      </c>
      <c r="D15" s="4" t="s">
        <v>69</v>
      </c>
      <c r="E15" s="5">
        <v>24.896999999999998</v>
      </c>
      <c r="F15" s="5">
        <v>26.991</v>
      </c>
      <c r="G15" s="13" t="s">
        <v>24</v>
      </c>
      <c r="H15" s="5" t="s">
        <v>24</v>
      </c>
      <c r="I15" s="4" t="s">
        <v>25</v>
      </c>
      <c r="J15" s="4"/>
      <c r="K15" s="4" t="s">
        <v>70</v>
      </c>
      <c r="L15" s="4">
        <v>1</v>
      </c>
      <c r="M15" s="4" t="str">
        <f t="shared" si="0"/>
        <v>L1</v>
      </c>
      <c r="N15" s="4" t="s">
        <v>42</v>
      </c>
      <c r="O15" s="4">
        <v>100</v>
      </c>
      <c r="P15">
        <v>14</v>
      </c>
      <c r="Q15" t="s">
        <v>28</v>
      </c>
      <c r="R15" t="b">
        <f t="shared" si="1"/>
        <v>1</v>
      </c>
      <c r="S15" s="4" t="s">
        <v>69</v>
      </c>
      <c r="T15" s="3">
        <v>1514</v>
      </c>
      <c r="U15" s="4" t="s">
        <v>25</v>
      </c>
      <c r="V15" s="5">
        <v>24.896999999999998</v>
      </c>
      <c r="W15" s="5">
        <v>26.991</v>
      </c>
      <c r="X15" s="3" t="s">
        <v>71</v>
      </c>
      <c r="Y15" s="12">
        <f t="shared" si="2"/>
        <v>-2.0940000000000012</v>
      </c>
      <c r="AA15" t="b">
        <f t="shared" si="3"/>
        <v>1</v>
      </c>
      <c r="AB15" s="19" t="s">
        <v>911</v>
      </c>
      <c r="AC15" s="19" t="s">
        <v>69</v>
      </c>
      <c r="AD15" s="27">
        <v>711.17</v>
      </c>
      <c r="AE15" s="27"/>
      <c r="AF15" s="28">
        <v>55</v>
      </c>
      <c r="AG15" s="28">
        <v>1455</v>
      </c>
      <c r="AH15" s="27"/>
      <c r="AL15" s="3">
        <v>1514</v>
      </c>
      <c r="AM15" s="35">
        <v>711.17</v>
      </c>
      <c r="AN15" s="40">
        <f t="shared" ref="AN15:AN21" si="6">(AM15-122)/3</f>
        <v>196.39</v>
      </c>
      <c r="AO15" s="40">
        <f t="shared" ref="AO15:AO21" si="7">AN15*1.0425+1.2088</f>
        <v>205.94537499999998</v>
      </c>
      <c r="AP15" s="35"/>
      <c r="AQ15" s="3"/>
      <c r="AR15" s="3"/>
      <c r="AS15" s="4" t="s">
        <v>25</v>
      </c>
    </row>
    <row r="16" spans="1:45" x14ac:dyDescent="0.25">
      <c r="A16" s="4"/>
      <c r="B16" s="4"/>
      <c r="C16" s="4">
        <v>313</v>
      </c>
      <c r="D16" s="4" t="s">
        <v>72</v>
      </c>
      <c r="E16" s="5">
        <v>25.361000000000001</v>
      </c>
      <c r="F16" s="5">
        <v>27.297000000000001</v>
      </c>
      <c r="G16" s="13" t="s">
        <v>24</v>
      </c>
      <c r="H16" s="5" t="s">
        <v>24</v>
      </c>
      <c r="I16" s="4" t="s">
        <v>25</v>
      </c>
      <c r="J16" s="4"/>
      <c r="K16" s="4" t="s">
        <v>73</v>
      </c>
      <c r="L16" s="4">
        <v>1</v>
      </c>
      <c r="M16" s="4" t="str">
        <f t="shared" si="0"/>
        <v>N1</v>
      </c>
      <c r="N16" s="4" t="s">
        <v>42</v>
      </c>
      <c r="O16" s="4">
        <v>102</v>
      </c>
      <c r="P16">
        <v>15</v>
      </c>
      <c r="Q16" t="s">
        <v>28</v>
      </c>
      <c r="R16" t="b">
        <f t="shared" si="1"/>
        <v>1</v>
      </c>
      <c r="S16" s="4" t="s">
        <v>72</v>
      </c>
      <c r="T16" s="3">
        <v>1515</v>
      </c>
      <c r="U16" s="4" t="s">
        <v>25</v>
      </c>
      <c r="V16" s="5">
        <v>25.361000000000001</v>
      </c>
      <c r="W16" s="5">
        <v>27.297000000000001</v>
      </c>
      <c r="X16" s="3" t="s">
        <v>74</v>
      </c>
      <c r="Y16" s="12">
        <f t="shared" si="2"/>
        <v>-1.9359999999999999</v>
      </c>
      <c r="AA16" t="b">
        <f t="shared" si="3"/>
        <v>1</v>
      </c>
      <c r="AB16" s="19" t="s">
        <v>912</v>
      </c>
      <c r="AC16" s="19" t="s">
        <v>72</v>
      </c>
      <c r="AD16" s="27">
        <v>699.54</v>
      </c>
      <c r="AE16" s="27"/>
      <c r="AF16" s="28">
        <v>62</v>
      </c>
      <c r="AG16" s="28">
        <v>1456</v>
      </c>
      <c r="AH16" s="27"/>
      <c r="AL16" s="3">
        <v>1515</v>
      </c>
      <c r="AM16" s="35">
        <v>699.54</v>
      </c>
      <c r="AN16" s="40">
        <f t="shared" si="6"/>
        <v>192.51333333333332</v>
      </c>
      <c r="AO16" s="40">
        <f t="shared" si="7"/>
        <v>201.90394999999998</v>
      </c>
      <c r="AP16" s="35"/>
      <c r="AQ16" s="3"/>
      <c r="AR16" s="3"/>
      <c r="AS16" s="4" t="s">
        <v>25</v>
      </c>
    </row>
    <row r="17" spans="1:45" x14ac:dyDescent="0.25">
      <c r="A17" s="4"/>
      <c r="B17" s="4"/>
      <c r="C17" s="4">
        <v>361</v>
      </c>
      <c r="D17" s="4" t="s">
        <v>75</v>
      </c>
      <c r="E17" s="5">
        <v>38.651000000000003</v>
      </c>
      <c r="F17" s="5">
        <v>25.978000000000002</v>
      </c>
      <c r="G17" s="13" t="s">
        <v>19</v>
      </c>
      <c r="H17" s="5" t="s">
        <v>24</v>
      </c>
      <c r="I17" s="4" t="s">
        <v>63</v>
      </c>
      <c r="J17" s="4"/>
      <c r="K17" s="4" t="s">
        <v>76</v>
      </c>
      <c r="L17" s="4">
        <v>1</v>
      </c>
      <c r="M17" s="4" t="str">
        <f t="shared" si="0"/>
        <v>P1</v>
      </c>
      <c r="N17" s="4" t="s">
        <v>42</v>
      </c>
      <c r="O17" s="4">
        <v>104</v>
      </c>
      <c r="P17">
        <v>16</v>
      </c>
      <c r="Q17" t="s">
        <v>28</v>
      </c>
      <c r="R17" t="b">
        <f t="shared" si="1"/>
        <v>1</v>
      </c>
      <c r="S17" s="4" t="s">
        <v>75</v>
      </c>
      <c r="T17" s="3">
        <v>1516</v>
      </c>
      <c r="U17" s="4" t="s">
        <v>63</v>
      </c>
      <c r="V17" s="5">
        <v>38.651000000000003</v>
      </c>
      <c r="W17" s="5">
        <v>25.978000000000002</v>
      </c>
      <c r="X17" s="3" t="s">
        <v>77</v>
      </c>
      <c r="Y17" s="12">
        <f t="shared" si="2"/>
        <v>12.673000000000002</v>
      </c>
      <c r="AA17" t="b">
        <f t="shared" si="3"/>
        <v>1</v>
      </c>
      <c r="AB17" s="19" t="s">
        <v>913</v>
      </c>
      <c r="AC17" s="19" t="s">
        <v>75</v>
      </c>
      <c r="AD17" s="3">
        <v>683.39</v>
      </c>
      <c r="AE17" s="3"/>
      <c r="AF17" s="3">
        <v>560</v>
      </c>
      <c r="AG17" s="28"/>
      <c r="AH17" s="3" t="s">
        <v>19</v>
      </c>
      <c r="AL17" s="3">
        <v>1516</v>
      </c>
      <c r="AM17" s="17">
        <v>683.39</v>
      </c>
      <c r="AN17" s="40">
        <f t="shared" si="6"/>
        <v>187.13</v>
      </c>
      <c r="AO17" s="40">
        <f t="shared" si="7"/>
        <v>196.29182499999999</v>
      </c>
      <c r="AP17" s="17"/>
      <c r="AQ17" s="3"/>
      <c r="AR17" s="3"/>
      <c r="AS17" s="4" t="s">
        <v>63</v>
      </c>
    </row>
    <row r="18" spans="1:45" x14ac:dyDescent="0.25">
      <c r="A18" s="4"/>
      <c r="B18" s="4"/>
      <c r="C18" s="4">
        <v>2</v>
      </c>
      <c r="D18" s="4" t="s">
        <v>78</v>
      </c>
      <c r="E18" s="5">
        <v>25.132000000000001</v>
      </c>
      <c r="F18" s="5">
        <v>27.094000000000001</v>
      </c>
      <c r="G18" s="13" t="s">
        <v>24</v>
      </c>
      <c r="H18" s="5" t="s">
        <v>24</v>
      </c>
      <c r="I18" s="4" t="s">
        <v>25</v>
      </c>
      <c r="J18" s="4"/>
      <c r="K18" s="4" t="s">
        <v>26</v>
      </c>
      <c r="L18" s="4">
        <v>2</v>
      </c>
      <c r="M18" s="4" t="str">
        <f t="shared" si="0"/>
        <v>A2</v>
      </c>
      <c r="N18" s="4" t="s">
        <v>27</v>
      </c>
      <c r="O18" s="4">
        <v>9</v>
      </c>
      <c r="P18">
        <v>17</v>
      </c>
      <c r="Q18" t="s">
        <v>28</v>
      </c>
      <c r="R18" t="b">
        <f t="shared" si="1"/>
        <v>1</v>
      </c>
      <c r="S18" s="4" t="s">
        <v>78</v>
      </c>
      <c r="T18" s="3">
        <v>1517</v>
      </c>
      <c r="U18" s="4" t="s">
        <v>25</v>
      </c>
      <c r="V18" s="5">
        <v>25.132000000000001</v>
      </c>
      <c r="W18" s="5">
        <v>27.094000000000001</v>
      </c>
      <c r="X18" s="3" t="s">
        <v>79</v>
      </c>
      <c r="Y18" s="12">
        <f t="shared" si="2"/>
        <v>-1.9619999999999997</v>
      </c>
      <c r="AA18" t="b">
        <f t="shared" si="3"/>
        <v>1</v>
      </c>
      <c r="AB18" s="19" t="s">
        <v>914</v>
      </c>
      <c r="AC18" s="19" t="s">
        <v>78</v>
      </c>
      <c r="AD18" s="27">
        <v>682.58</v>
      </c>
      <c r="AE18" s="27"/>
      <c r="AF18" s="28">
        <v>100</v>
      </c>
      <c r="AG18" s="28">
        <v>2164</v>
      </c>
      <c r="AH18" s="27"/>
      <c r="AL18" s="3">
        <v>1517</v>
      </c>
      <c r="AM18" s="35">
        <v>682.58</v>
      </c>
      <c r="AN18" s="40">
        <f t="shared" si="6"/>
        <v>186.86</v>
      </c>
      <c r="AO18" s="40">
        <f t="shared" si="7"/>
        <v>196.01035000000002</v>
      </c>
      <c r="AP18" s="35"/>
      <c r="AQ18" s="3"/>
      <c r="AR18" s="3"/>
      <c r="AS18" s="4" t="s">
        <v>25</v>
      </c>
    </row>
    <row r="19" spans="1:45" x14ac:dyDescent="0.25">
      <c r="A19" s="4"/>
      <c r="B19" s="4"/>
      <c r="C19" s="4">
        <v>50</v>
      </c>
      <c r="D19" s="4" t="s">
        <v>80</v>
      </c>
      <c r="E19" s="5">
        <v>25.568000000000001</v>
      </c>
      <c r="F19" s="5">
        <v>27.515999999999998</v>
      </c>
      <c r="G19" s="13" t="s">
        <v>24</v>
      </c>
      <c r="H19" s="5" t="s">
        <v>24</v>
      </c>
      <c r="I19" s="4" t="s">
        <v>25</v>
      </c>
      <c r="J19" s="4"/>
      <c r="K19" s="4" t="s">
        <v>32</v>
      </c>
      <c r="L19" s="4">
        <v>2</v>
      </c>
      <c r="M19" s="4" t="str">
        <f t="shared" si="0"/>
        <v>C2</v>
      </c>
      <c r="N19" s="4" t="s">
        <v>27</v>
      </c>
      <c r="O19" s="4">
        <v>11</v>
      </c>
      <c r="P19">
        <v>18</v>
      </c>
      <c r="Q19" t="s">
        <v>28</v>
      </c>
      <c r="R19" t="b">
        <f t="shared" si="1"/>
        <v>1</v>
      </c>
      <c r="S19" s="4" t="s">
        <v>80</v>
      </c>
      <c r="T19" s="3">
        <v>1518</v>
      </c>
      <c r="U19" s="4" t="s">
        <v>25</v>
      </c>
      <c r="V19" s="5">
        <v>25.568000000000001</v>
      </c>
      <c r="W19" s="5">
        <v>27.515999999999998</v>
      </c>
      <c r="X19" s="3" t="s">
        <v>81</v>
      </c>
      <c r="Y19" s="12">
        <f t="shared" si="2"/>
        <v>-1.9479999999999968</v>
      </c>
      <c r="AA19" t="b">
        <f t="shared" si="3"/>
        <v>1</v>
      </c>
      <c r="AB19" s="19" t="s">
        <v>915</v>
      </c>
      <c r="AC19" s="19" t="s">
        <v>80</v>
      </c>
      <c r="AD19" s="27">
        <v>688.32</v>
      </c>
      <c r="AE19" s="27"/>
      <c r="AF19" s="28">
        <v>74</v>
      </c>
      <c r="AG19" s="28">
        <v>1735</v>
      </c>
      <c r="AH19" s="27"/>
      <c r="AL19" s="3">
        <v>1518</v>
      </c>
      <c r="AM19" s="35">
        <v>688.32</v>
      </c>
      <c r="AN19" s="40">
        <f t="shared" si="6"/>
        <v>188.77333333333334</v>
      </c>
      <c r="AO19" s="40">
        <f t="shared" si="7"/>
        <v>198.005</v>
      </c>
      <c r="AP19" s="35"/>
      <c r="AQ19" s="3"/>
      <c r="AR19" s="3"/>
      <c r="AS19" s="4" t="s">
        <v>25</v>
      </c>
    </row>
    <row r="20" spans="1:45" x14ac:dyDescent="0.25">
      <c r="A20" s="4"/>
      <c r="B20" s="4"/>
      <c r="C20" s="4">
        <v>98</v>
      </c>
      <c r="D20" s="4" t="s">
        <v>82</v>
      </c>
      <c r="E20" s="5">
        <v>25.536999999999999</v>
      </c>
      <c r="F20" s="5">
        <v>27.611000000000001</v>
      </c>
      <c r="G20" s="13" t="s">
        <v>24</v>
      </c>
      <c r="H20" s="5" t="s">
        <v>24</v>
      </c>
      <c r="I20" s="4" t="s">
        <v>25</v>
      </c>
      <c r="J20" s="4"/>
      <c r="K20" s="4" t="s">
        <v>35</v>
      </c>
      <c r="L20" s="4">
        <v>2</v>
      </c>
      <c r="M20" s="4" t="str">
        <f t="shared" si="0"/>
        <v>E2</v>
      </c>
      <c r="N20" s="4" t="s">
        <v>27</v>
      </c>
      <c r="O20" s="4">
        <v>13</v>
      </c>
      <c r="P20">
        <v>19</v>
      </c>
      <c r="Q20" t="s">
        <v>28</v>
      </c>
      <c r="R20" t="b">
        <f t="shared" si="1"/>
        <v>1</v>
      </c>
      <c r="S20" s="4" t="s">
        <v>82</v>
      </c>
      <c r="T20" s="3">
        <v>1519</v>
      </c>
      <c r="U20" s="4" t="s">
        <v>25</v>
      </c>
      <c r="V20" s="5">
        <v>25.536999999999999</v>
      </c>
      <c r="W20" s="5">
        <v>27.611000000000001</v>
      </c>
      <c r="X20" s="3" t="s">
        <v>83</v>
      </c>
      <c r="Y20" s="12">
        <f t="shared" si="2"/>
        <v>-2.0740000000000016</v>
      </c>
      <c r="AA20" t="b">
        <f t="shared" si="3"/>
        <v>1</v>
      </c>
      <c r="AB20" s="19" t="s">
        <v>916</v>
      </c>
      <c r="AC20" s="19" t="s">
        <v>82</v>
      </c>
      <c r="AD20" s="27">
        <v>688.24</v>
      </c>
      <c r="AE20" s="27"/>
      <c r="AF20" s="28">
        <v>78</v>
      </c>
      <c r="AG20" s="28">
        <v>1727</v>
      </c>
      <c r="AH20" s="27"/>
      <c r="AL20" s="3">
        <v>1519</v>
      </c>
      <c r="AM20" s="35">
        <v>688.24</v>
      </c>
      <c r="AN20" s="40">
        <f t="shared" si="6"/>
        <v>188.74666666666667</v>
      </c>
      <c r="AO20" s="40">
        <f t="shared" si="7"/>
        <v>197.97720000000001</v>
      </c>
      <c r="AP20" s="35"/>
      <c r="AQ20" s="3"/>
      <c r="AR20" s="3"/>
      <c r="AS20" s="4" t="s">
        <v>25</v>
      </c>
    </row>
    <row r="21" spans="1:45" x14ac:dyDescent="0.25">
      <c r="A21" s="4"/>
      <c r="B21" s="4"/>
      <c r="C21" s="4">
        <v>146</v>
      </c>
      <c r="D21" s="4" t="s">
        <v>84</v>
      </c>
      <c r="E21" s="5">
        <v>25.204999999999998</v>
      </c>
      <c r="F21" s="5">
        <v>27.260999999999999</v>
      </c>
      <c r="G21" s="13" t="s">
        <v>24</v>
      </c>
      <c r="H21" s="5" t="s">
        <v>24</v>
      </c>
      <c r="I21" s="4" t="s">
        <v>25</v>
      </c>
      <c r="J21" s="4"/>
      <c r="K21" s="4" t="s">
        <v>38</v>
      </c>
      <c r="L21" s="4">
        <v>2</v>
      </c>
      <c r="M21" s="4" t="str">
        <f t="shared" si="0"/>
        <v>G2</v>
      </c>
      <c r="N21" s="4" t="s">
        <v>27</v>
      </c>
      <c r="O21" s="4">
        <v>15</v>
      </c>
      <c r="P21">
        <v>20</v>
      </c>
      <c r="Q21" t="s">
        <v>28</v>
      </c>
      <c r="R21" t="b">
        <f t="shared" si="1"/>
        <v>1</v>
      </c>
      <c r="S21" s="4" t="s">
        <v>84</v>
      </c>
      <c r="T21" s="3">
        <v>1520</v>
      </c>
      <c r="U21" s="4" t="s">
        <v>25</v>
      </c>
      <c r="V21" s="5">
        <v>25.204999999999998</v>
      </c>
      <c r="W21" s="5">
        <v>27.260999999999999</v>
      </c>
      <c r="X21" s="3" t="s">
        <v>85</v>
      </c>
      <c r="Y21" s="12">
        <f t="shared" si="2"/>
        <v>-2.0560000000000009</v>
      </c>
      <c r="AA21" t="b">
        <f t="shared" si="3"/>
        <v>1</v>
      </c>
      <c r="AB21" s="19" t="s">
        <v>917</v>
      </c>
      <c r="AC21" s="19" t="s">
        <v>84</v>
      </c>
      <c r="AD21" s="27">
        <v>694.3</v>
      </c>
      <c r="AE21" s="27"/>
      <c r="AF21" s="28">
        <v>106</v>
      </c>
      <c r="AG21" s="28">
        <v>2485</v>
      </c>
      <c r="AH21" s="27"/>
      <c r="AL21" s="3">
        <v>1520</v>
      </c>
      <c r="AM21" s="35">
        <v>694.3</v>
      </c>
      <c r="AN21" s="40">
        <f t="shared" si="6"/>
        <v>190.76666666666665</v>
      </c>
      <c r="AO21" s="40">
        <f t="shared" si="7"/>
        <v>200.08304999999999</v>
      </c>
      <c r="AP21" s="35"/>
      <c r="AQ21" s="3"/>
      <c r="AR21" s="3"/>
      <c r="AS21" s="4" t="s">
        <v>25</v>
      </c>
    </row>
    <row r="22" spans="1:45" x14ac:dyDescent="0.25">
      <c r="A22" s="4"/>
      <c r="B22" s="4"/>
      <c r="C22" s="4">
        <v>194</v>
      </c>
      <c r="D22" s="4" t="s">
        <v>86</v>
      </c>
      <c r="E22" s="5">
        <v>34.713000000000001</v>
      </c>
      <c r="F22" s="5">
        <v>29.852</v>
      </c>
      <c r="G22" s="13" t="s">
        <v>19</v>
      </c>
      <c r="H22" s="5" t="s">
        <v>24</v>
      </c>
      <c r="I22" s="4" t="s">
        <v>63</v>
      </c>
      <c r="J22" s="4"/>
      <c r="K22" s="4" t="s">
        <v>41</v>
      </c>
      <c r="L22" s="4">
        <v>2</v>
      </c>
      <c r="M22" s="4" t="str">
        <f t="shared" si="0"/>
        <v>I2</v>
      </c>
      <c r="N22" s="4" t="s">
        <v>42</v>
      </c>
      <c r="O22" s="4">
        <v>105</v>
      </c>
      <c r="P22">
        <v>21</v>
      </c>
      <c r="Q22" t="s">
        <v>28</v>
      </c>
      <c r="R22" t="b">
        <f t="shared" si="1"/>
        <v>1</v>
      </c>
      <c r="S22" s="4" t="s">
        <v>86</v>
      </c>
      <c r="T22" s="3">
        <v>1521</v>
      </c>
      <c r="U22" s="30" t="s">
        <v>1060</v>
      </c>
      <c r="V22" s="5">
        <v>34.713000000000001</v>
      </c>
      <c r="W22" s="5">
        <v>29.852</v>
      </c>
      <c r="X22" s="3" t="s">
        <v>87</v>
      </c>
      <c r="Y22" s="12">
        <f t="shared" si="2"/>
        <v>4.8610000000000007</v>
      </c>
      <c r="Z22" s="23" t="s">
        <v>19</v>
      </c>
      <c r="AA22" t="b">
        <f t="shared" si="3"/>
        <v>1</v>
      </c>
      <c r="AB22" s="19" t="s">
        <v>918</v>
      </c>
      <c r="AC22" s="19" t="s">
        <v>86</v>
      </c>
      <c r="AD22" s="31" t="s">
        <v>1061</v>
      </c>
      <c r="AE22" s="3"/>
      <c r="AF22" s="3"/>
      <c r="AG22" s="28"/>
      <c r="AH22" s="3" t="s">
        <v>19</v>
      </c>
      <c r="AL22" s="3">
        <v>1521</v>
      </c>
      <c r="AM22" s="36" t="s">
        <v>1061</v>
      </c>
      <c r="AN22" s="40"/>
      <c r="AO22" s="40"/>
      <c r="AP22" s="17"/>
      <c r="AQ22" s="3"/>
      <c r="AR22" s="3"/>
      <c r="AS22" s="30" t="s">
        <v>1060</v>
      </c>
    </row>
    <row r="23" spans="1:45" x14ac:dyDescent="0.25">
      <c r="A23" s="4"/>
      <c r="B23" s="4"/>
      <c r="C23" s="4">
        <v>242</v>
      </c>
      <c r="D23" s="4" t="s">
        <v>88</v>
      </c>
      <c r="E23" s="5">
        <v>24.989000000000001</v>
      </c>
      <c r="F23" s="5" t="s">
        <v>31</v>
      </c>
      <c r="G23" s="13" t="s">
        <v>24</v>
      </c>
      <c r="H23" s="5" t="s">
        <v>31</v>
      </c>
      <c r="I23" s="4" t="s">
        <v>31</v>
      </c>
      <c r="J23" s="4"/>
      <c r="K23" s="4" t="s">
        <v>45</v>
      </c>
      <c r="L23" s="4">
        <v>2</v>
      </c>
      <c r="M23" s="4" t="str">
        <f t="shared" si="0"/>
        <v>K2</v>
      </c>
      <c r="N23" s="4" t="s">
        <v>42</v>
      </c>
      <c r="O23" s="4">
        <v>107</v>
      </c>
      <c r="P23">
        <v>22</v>
      </c>
      <c r="Q23" t="s">
        <v>28</v>
      </c>
      <c r="R23" t="b">
        <f t="shared" si="1"/>
        <v>1</v>
      </c>
      <c r="S23" s="4" t="s">
        <v>88</v>
      </c>
      <c r="T23" s="3">
        <v>1522</v>
      </c>
      <c r="U23" s="4" t="s">
        <v>31</v>
      </c>
      <c r="V23" s="5">
        <v>24.989000000000001</v>
      </c>
      <c r="W23" s="5" t="s">
        <v>31</v>
      </c>
      <c r="X23" s="3" t="s">
        <v>89</v>
      </c>
      <c r="Y23" s="12" t="e">
        <f t="shared" si="2"/>
        <v>#VALUE!</v>
      </c>
      <c r="AA23" t="b">
        <f t="shared" si="3"/>
        <v>1</v>
      </c>
      <c r="AB23" s="19" t="s">
        <v>919</v>
      </c>
      <c r="AC23" s="19" t="s">
        <v>88</v>
      </c>
      <c r="AD23" s="27"/>
      <c r="AE23" s="27"/>
      <c r="AF23" s="28"/>
      <c r="AG23" s="28"/>
      <c r="AH23" s="27"/>
      <c r="AL23" s="3">
        <v>1522</v>
      </c>
      <c r="AM23" s="35"/>
      <c r="AN23" s="17"/>
      <c r="AO23" s="17"/>
      <c r="AP23" s="35"/>
      <c r="AQ23" s="3"/>
      <c r="AR23" s="3"/>
      <c r="AS23" s="4" t="s">
        <v>31</v>
      </c>
    </row>
    <row r="24" spans="1:45" x14ac:dyDescent="0.25">
      <c r="A24" s="4"/>
      <c r="B24" s="4"/>
      <c r="C24" s="4">
        <v>290</v>
      </c>
      <c r="D24" s="4" t="s">
        <v>90</v>
      </c>
      <c r="E24" s="5" t="s">
        <v>31</v>
      </c>
      <c r="F24" s="5">
        <v>26.222999999999999</v>
      </c>
      <c r="G24" s="13" t="s">
        <v>31</v>
      </c>
      <c r="H24" s="5" t="s">
        <v>24</v>
      </c>
      <c r="I24" s="4" t="s">
        <v>63</v>
      </c>
      <c r="J24" s="4"/>
      <c r="K24" s="4" t="s">
        <v>48</v>
      </c>
      <c r="L24" s="4">
        <v>2</v>
      </c>
      <c r="M24" s="4" t="str">
        <f t="shared" si="0"/>
        <v>M2</v>
      </c>
      <c r="N24" s="4" t="s">
        <v>42</v>
      </c>
      <c r="O24" s="4">
        <v>109</v>
      </c>
      <c r="P24">
        <v>23</v>
      </c>
      <c r="Q24" t="s">
        <v>28</v>
      </c>
      <c r="R24" t="b">
        <f t="shared" si="1"/>
        <v>1</v>
      </c>
      <c r="S24" s="4" t="s">
        <v>90</v>
      </c>
      <c r="T24" s="3">
        <v>1523</v>
      </c>
      <c r="U24" s="4" t="s">
        <v>63</v>
      </c>
      <c r="V24" s="5" t="s">
        <v>31</v>
      </c>
      <c r="W24" s="5">
        <v>26.222999999999999</v>
      </c>
      <c r="X24" s="3" t="s">
        <v>91</v>
      </c>
      <c r="Y24" s="12" t="e">
        <f t="shared" si="2"/>
        <v>#VALUE!</v>
      </c>
      <c r="AA24" t="b">
        <f t="shared" si="3"/>
        <v>1</v>
      </c>
      <c r="AB24" s="19" t="s">
        <v>920</v>
      </c>
      <c r="AC24" s="19" t="s">
        <v>90</v>
      </c>
      <c r="AD24" s="27">
        <v>705.54</v>
      </c>
      <c r="AE24" s="27"/>
      <c r="AF24" s="28">
        <v>130</v>
      </c>
      <c r="AG24" s="28">
        <v>3000</v>
      </c>
      <c r="AH24" s="27"/>
      <c r="AL24" s="3">
        <v>1523</v>
      </c>
      <c r="AM24" s="35">
        <v>705.54</v>
      </c>
      <c r="AN24" s="40">
        <f>(AM24-122)/3</f>
        <v>194.51333333333332</v>
      </c>
      <c r="AO24" s="40">
        <f>AN24*1.0425+1.2088</f>
        <v>203.98894999999999</v>
      </c>
      <c r="AP24" s="35"/>
      <c r="AQ24" s="3"/>
      <c r="AR24" s="3"/>
      <c r="AS24" s="4" t="s">
        <v>63</v>
      </c>
    </row>
    <row r="25" spans="1:45" x14ac:dyDescent="0.25">
      <c r="A25" s="4"/>
      <c r="B25" s="4"/>
      <c r="C25" s="4">
        <v>338</v>
      </c>
      <c r="D25" s="4" t="s">
        <v>92</v>
      </c>
      <c r="E25" s="5">
        <v>24.943999999999999</v>
      </c>
      <c r="F25" s="5">
        <v>27.173999999999999</v>
      </c>
      <c r="G25" s="13" t="s">
        <v>24</v>
      </c>
      <c r="H25" s="5" t="s">
        <v>24</v>
      </c>
      <c r="I25" s="4" t="s">
        <v>25</v>
      </c>
      <c r="J25" s="4"/>
      <c r="K25" s="4" t="s">
        <v>51</v>
      </c>
      <c r="L25" s="4">
        <v>2</v>
      </c>
      <c r="M25" s="4" t="str">
        <f t="shared" si="0"/>
        <v>O2</v>
      </c>
      <c r="N25" s="4" t="s">
        <v>42</v>
      </c>
      <c r="O25" s="4">
        <v>111</v>
      </c>
      <c r="P25">
        <v>24</v>
      </c>
      <c r="Q25" t="s">
        <v>28</v>
      </c>
      <c r="R25" t="b">
        <f t="shared" si="1"/>
        <v>1</v>
      </c>
      <c r="S25" s="4" t="s">
        <v>92</v>
      </c>
      <c r="T25" s="3">
        <v>1524</v>
      </c>
      <c r="U25" s="4" t="s">
        <v>25</v>
      </c>
      <c r="V25" s="5">
        <v>24.943999999999999</v>
      </c>
      <c r="W25" s="5">
        <v>27.173999999999999</v>
      </c>
      <c r="X25" s="3" t="s">
        <v>93</v>
      </c>
      <c r="Y25" s="12">
        <f t="shared" si="2"/>
        <v>-2.2300000000000004</v>
      </c>
      <c r="AA25" t="b">
        <f t="shared" si="3"/>
        <v>1</v>
      </c>
      <c r="AB25" s="19" t="s">
        <v>921</v>
      </c>
      <c r="AC25" s="19" t="s">
        <v>92</v>
      </c>
      <c r="AD25" s="27">
        <v>705.42</v>
      </c>
      <c r="AE25" s="27"/>
      <c r="AF25" s="28">
        <v>64</v>
      </c>
      <c r="AG25" s="28">
        <v>1309</v>
      </c>
      <c r="AH25" s="27"/>
      <c r="AL25" s="3">
        <v>1524</v>
      </c>
      <c r="AM25" s="35">
        <v>705.42</v>
      </c>
      <c r="AN25" s="40">
        <f>(AM25-122)/3</f>
        <v>194.47333333333333</v>
      </c>
      <c r="AO25" s="40">
        <f>AN25*1.0425+1.2088</f>
        <v>203.94725</v>
      </c>
      <c r="AP25" s="35"/>
      <c r="AQ25" s="3"/>
      <c r="AR25" s="3"/>
      <c r="AS25" s="4" t="s">
        <v>25</v>
      </c>
    </row>
    <row r="26" spans="1:45" x14ac:dyDescent="0.25">
      <c r="A26" s="4"/>
      <c r="B26" s="4"/>
      <c r="C26" s="4">
        <v>26</v>
      </c>
      <c r="D26" s="4" t="s">
        <v>94</v>
      </c>
      <c r="E26" s="5">
        <v>24.507999999999999</v>
      </c>
      <c r="F26" s="5">
        <v>26.600999999999999</v>
      </c>
      <c r="G26" s="13" t="s">
        <v>24</v>
      </c>
      <c r="H26" s="5" t="s">
        <v>24</v>
      </c>
      <c r="I26" s="4" t="s">
        <v>25</v>
      </c>
      <c r="J26" s="4"/>
      <c r="K26" s="4" t="s">
        <v>54</v>
      </c>
      <c r="L26" s="4">
        <v>2</v>
      </c>
      <c r="M26" s="4" t="str">
        <f t="shared" si="0"/>
        <v>B2</v>
      </c>
      <c r="N26" s="4" t="s">
        <v>27</v>
      </c>
      <c r="O26" s="4">
        <v>10</v>
      </c>
      <c r="P26">
        <v>25</v>
      </c>
      <c r="Q26" t="s">
        <v>28</v>
      </c>
      <c r="R26" t="b">
        <f t="shared" si="1"/>
        <v>1</v>
      </c>
      <c r="S26" s="4" t="s">
        <v>94</v>
      </c>
      <c r="T26" s="3">
        <v>1525</v>
      </c>
      <c r="U26" s="4" t="s">
        <v>25</v>
      </c>
      <c r="V26" s="5">
        <v>24.507999999999999</v>
      </c>
      <c r="W26" s="5">
        <v>26.600999999999999</v>
      </c>
      <c r="X26" s="3" t="s">
        <v>95</v>
      </c>
      <c r="Y26" s="12">
        <f t="shared" si="2"/>
        <v>-2.093</v>
      </c>
      <c r="AA26" t="b">
        <f t="shared" si="3"/>
        <v>1</v>
      </c>
      <c r="AB26" s="19" t="s">
        <v>922</v>
      </c>
      <c r="AC26" s="19" t="s">
        <v>94</v>
      </c>
      <c r="AD26" s="27">
        <v>708.42</v>
      </c>
      <c r="AE26" s="27"/>
      <c r="AF26" s="28">
        <v>92</v>
      </c>
      <c r="AG26" s="28">
        <v>2234</v>
      </c>
      <c r="AH26" s="27"/>
      <c r="AL26" s="3">
        <v>1525</v>
      </c>
      <c r="AM26" s="35">
        <v>708.42</v>
      </c>
      <c r="AN26" s="40">
        <f>(AM26-122)/3</f>
        <v>195.47333333333333</v>
      </c>
      <c r="AO26" s="40">
        <f>AN26*1.0425+1.2088</f>
        <v>204.98974999999999</v>
      </c>
      <c r="AP26" s="35"/>
      <c r="AQ26" s="3"/>
      <c r="AR26" s="3"/>
      <c r="AS26" s="4" t="s">
        <v>25</v>
      </c>
    </row>
    <row r="27" spans="1:45" x14ac:dyDescent="0.25">
      <c r="A27" s="4"/>
      <c r="B27" s="4"/>
      <c r="C27" s="4">
        <v>74</v>
      </c>
      <c r="D27" s="4" t="s">
        <v>96</v>
      </c>
      <c r="E27" s="5">
        <v>25.135999999999999</v>
      </c>
      <c r="F27" s="5">
        <v>27.084</v>
      </c>
      <c r="G27" s="13" t="s">
        <v>24</v>
      </c>
      <c r="H27" s="5" t="s">
        <v>24</v>
      </c>
      <c r="I27" s="4" t="s">
        <v>25</v>
      </c>
      <c r="J27" s="4"/>
      <c r="K27" s="4" t="s">
        <v>57</v>
      </c>
      <c r="L27" s="4">
        <v>2</v>
      </c>
      <c r="M27" s="4" t="str">
        <f t="shared" si="0"/>
        <v>D2</v>
      </c>
      <c r="N27" s="4" t="s">
        <v>27</v>
      </c>
      <c r="O27" s="4">
        <v>12</v>
      </c>
      <c r="P27">
        <v>26</v>
      </c>
      <c r="Q27" t="s">
        <v>28</v>
      </c>
      <c r="R27" t="b">
        <f t="shared" si="1"/>
        <v>1</v>
      </c>
      <c r="S27" s="4" t="s">
        <v>96</v>
      </c>
      <c r="T27" s="3">
        <v>1526</v>
      </c>
      <c r="U27" s="4" t="s">
        <v>25</v>
      </c>
      <c r="V27" s="5">
        <v>25.135999999999999</v>
      </c>
      <c r="W27" s="5">
        <v>27.084</v>
      </c>
      <c r="X27" s="3" t="s">
        <v>97</v>
      </c>
      <c r="Y27" s="12">
        <f t="shared" si="2"/>
        <v>-1.9480000000000004</v>
      </c>
      <c r="AA27" t="b">
        <f t="shared" si="3"/>
        <v>1</v>
      </c>
      <c r="AB27" s="19" t="s">
        <v>923</v>
      </c>
      <c r="AC27" s="19" t="s">
        <v>96</v>
      </c>
      <c r="AD27" s="27">
        <v>700</v>
      </c>
      <c r="AE27" s="27"/>
      <c r="AF27" s="28">
        <v>114</v>
      </c>
      <c r="AG27" s="28">
        <v>2448</v>
      </c>
      <c r="AH27" s="27"/>
      <c r="AL27" s="3">
        <v>1526</v>
      </c>
      <c r="AM27" s="35">
        <v>700</v>
      </c>
      <c r="AN27" s="40">
        <f>(AM27-122)/3</f>
        <v>192.66666666666666</v>
      </c>
      <c r="AO27" s="40">
        <f>AN27*1.0425+1.2088</f>
        <v>202.06379999999999</v>
      </c>
      <c r="AP27" s="35"/>
      <c r="AQ27" s="3"/>
      <c r="AR27" s="3"/>
      <c r="AS27" s="4" t="s">
        <v>25</v>
      </c>
    </row>
    <row r="28" spans="1:45" x14ac:dyDescent="0.25">
      <c r="A28" s="4"/>
      <c r="B28" s="4"/>
      <c r="C28" s="4">
        <v>122</v>
      </c>
      <c r="D28" s="4" t="s">
        <v>98</v>
      </c>
      <c r="E28" s="5">
        <v>25.289000000000001</v>
      </c>
      <c r="F28" s="5" t="s">
        <v>31</v>
      </c>
      <c r="G28" s="13" t="s">
        <v>24</v>
      </c>
      <c r="H28" s="5" t="s">
        <v>31</v>
      </c>
      <c r="I28" s="4" t="s">
        <v>31</v>
      </c>
      <c r="J28" s="4"/>
      <c r="K28" s="4" t="s">
        <v>60</v>
      </c>
      <c r="L28" s="4">
        <v>2</v>
      </c>
      <c r="M28" s="4" t="str">
        <f t="shared" si="0"/>
        <v>F2</v>
      </c>
      <c r="N28" s="4" t="s">
        <v>27</v>
      </c>
      <c r="O28" s="4">
        <v>14</v>
      </c>
      <c r="P28">
        <v>27</v>
      </c>
      <c r="Q28" t="s">
        <v>28</v>
      </c>
      <c r="R28" t="b">
        <f t="shared" si="1"/>
        <v>1</v>
      </c>
      <c r="S28" s="4" t="s">
        <v>98</v>
      </c>
      <c r="T28" s="3">
        <v>1527</v>
      </c>
      <c r="U28" s="4" t="s">
        <v>31</v>
      </c>
      <c r="V28" s="5">
        <v>25.289000000000001</v>
      </c>
      <c r="W28" s="5" t="s">
        <v>31</v>
      </c>
      <c r="X28" s="3" t="s">
        <v>99</v>
      </c>
      <c r="Y28" s="12" t="e">
        <f t="shared" si="2"/>
        <v>#VALUE!</v>
      </c>
      <c r="AA28" t="b">
        <f t="shared" si="3"/>
        <v>1</v>
      </c>
      <c r="AB28" s="19" t="s">
        <v>924</v>
      </c>
      <c r="AC28" s="19" t="s">
        <v>98</v>
      </c>
      <c r="AD28" s="27"/>
      <c r="AE28" s="27"/>
      <c r="AF28" s="28"/>
      <c r="AG28" s="28"/>
      <c r="AH28" s="27"/>
      <c r="AL28" s="3">
        <v>1527</v>
      </c>
      <c r="AM28" s="35"/>
      <c r="AN28" s="17"/>
      <c r="AO28" s="17"/>
      <c r="AP28" s="35"/>
      <c r="AQ28" s="3"/>
      <c r="AR28" s="3"/>
      <c r="AS28" s="4" t="s">
        <v>31</v>
      </c>
    </row>
    <row r="29" spans="1:45" x14ac:dyDescent="0.25">
      <c r="A29" s="4"/>
      <c r="B29" s="4"/>
      <c r="C29" s="4">
        <v>170</v>
      </c>
      <c r="D29" s="4" t="s">
        <v>100</v>
      </c>
      <c r="E29" s="5">
        <v>25.753</v>
      </c>
      <c r="F29" s="5">
        <v>27.757999999999999</v>
      </c>
      <c r="G29" s="13" t="s">
        <v>24</v>
      </c>
      <c r="H29" s="5" t="s">
        <v>24</v>
      </c>
      <c r="I29" s="4" t="s">
        <v>25</v>
      </c>
      <c r="J29" s="4"/>
      <c r="K29" s="4" t="s">
        <v>64</v>
      </c>
      <c r="L29" s="4">
        <v>2</v>
      </c>
      <c r="M29" s="4" t="str">
        <f t="shared" si="0"/>
        <v>H2</v>
      </c>
      <c r="N29" s="4" t="s">
        <v>27</v>
      </c>
      <c r="O29" s="4">
        <v>16</v>
      </c>
      <c r="P29">
        <v>28</v>
      </c>
      <c r="Q29" t="s">
        <v>28</v>
      </c>
      <c r="R29" t="b">
        <f t="shared" si="1"/>
        <v>1</v>
      </c>
      <c r="S29" s="4" t="s">
        <v>100</v>
      </c>
      <c r="T29" s="3">
        <v>1528</v>
      </c>
      <c r="U29" s="4" t="s">
        <v>25</v>
      </c>
      <c r="V29" s="5">
        <v>25.753</v>
      </c>
      <c r="W29" s="5">
        <v>27.757999999999999</v>
      </c>
      <c r="X29" s="3" t="s">
        <v>101</v>
      </c>
      <c r="Y29" s="12">
        <f t="shared" si="2"/>
        <v>-2.004999999999999</v>
      </c>
      <c r="AA29" t="b">
        <f t="shared" si="3"/>
        <v>1</v>
      </c>
      <c r="AB29" s="19" t="s">
        <v>925</v>
      </c>
      <c r="AC29" s="19" t="s">
        <v>100</v>
      </c>
      <c r="AD29" s="27">
        <v>688.56</v>
      </c>
      <c r="AE29" s="27"/>
      <c r="AF29" s="28">
        <v>87</v>
      </c>
      <c r="AG29" s="28">
        <v>1858</v>
      </c>
      <c r="AH29" s="27"/>
      <c r="AL29" s="3">
        <v>1528</v>
      </c>
      <c r="AM29" s="35">
        <v>688.56</v>
      </c>
      <c r="AN29" s="40">
        <f>(AM29-122)/3</f>
        <v>188.85333333333332</v>
      </c>
      <c r="AO29" s="40">
        <f>AN29*1.0425+1.2088</f>
        <v>198.08839999999998</v>
      </c>
      <c r="AP29" s="35"/>
      <c r="AQ29" s="3"/>
      <c r="AR29" s="3"/>
      <c r="AS29" s="4" t="s">
        <v>25</v>
      </c>
    </row>
    <row r="30" spans="1:45" x14ac:dyDescent="0.25">
      <c r="A30" s="4"/>
      <c r="B30" s="4"/>
      <c r="C30" s="4">
        <v>218</v>
      </c>
      <c r="D30" s="4" t="s">
        <v>102</v>
      </c>
      <c r="E30" s="5">
        <v>24.544</v>
      </c>
      <c r="F30" s="5">
        <v>26.852</v>
      </c>
      <c r="G30" s="13" t="s">
        <v>24</v>
      </c>
      <c r="H30" s="5" t="s">
        <v>24</v>
      </c>
      <c r="I30" s="4" t="s">
        <v>25</v>
      </c>
      <c r="J30" s="4"/>
      <c r="K30" s="4" t="s">
        <v>67</v>
      </c>
      <c r="L30" s="4">
        <v>2</v>
      </c>
      <c r="M30" s="4" t="str">
        <f t="shared" si="0"/>
        <v>J2</v>
      </c>
      <c r="N30" s="4" t="s">
        <v>42</v>
      </c>
      <c r="O30" s="4">
        <v>106</v>
      </c>
      <c r="P30">
        <v>29</v>
      </c>
      <c r="Q30" t="s">
        <v>28</v>
      </c>
      <c r="R30" t="b">
        <f t="shared" si="1"/>
        <v>1</v>
      </c>
      <c r="S30" s="4" t="s">
        <v>102</v>
      </c>
      <c r="T30" s="3">
        <v>1529</v>
      </c>
      <c r="U30" s="4" t="s">
        <v>25</v>
      </c>
      <c r="V30" s="5">
        <v>24.544</v>
      </c>
      <c r="W30" s="5">
        <v>26.852</v>
      </c>
      <c r="X30" s="3" t="s">
        <v>103</v>
      </c>
      <c r="Y30" s="12">
        <f t="shared" si="2"/>
        <v>-2.3079999999999998</v>
      </c>
      <c r="AA30" t="b">
        <f t="shared" si="3"/>
        <v>1</v>
      </c>
      <c r="AB30" s="19" t="s">
        <v>926</v>
      </c>
      <c r="AC30" s="19" t="s">
        <v>102</v>
      </c>
      <c r="AD30" s="27">
        <v>688.45</v>
      </c>
      <c r="AE30" s="27"/>
      <c r="AF30" s="28">
        <v>126</v>
      </c>
      <c r="AG30" s="28">
        <v>2474</v>
      </c>
      <c r="AH30" s="27"/>
      <c r="AL30" s="3">
        <v>1529</v>
      </c>
      <c r="AM30" s="35">
        <v>688.45</v>
      </c>
      <c r="AN30" s="40">
        <f>(AM30-122)/3</f>
        <v>188.81666666666669</v>
      </c>
      <c r="AO30" s="40">
        <f>AN30*1.0425+1.2088</f>
        <v>198.05017500000002</v>
      </c>
      <c r="AP30" s="35"/>
      <c r="AQ30" s="3"/>
      <c r="AR30" s="3"/>
      <c r="AS30" s="4" t="s">
        <v>25</v>
      </c>
    </row>
    <row r="31" spans="1:45" x14ac:dyDescent="0.25">
      <c r="A31" s="4"/>
      <c r="B31" s="4"/>
      <c r="C31" s="4">
        <v>266</v>
      </c>
      <c r="D31" s="4" t="s">
        <v>104</v>
      </c>
      <c r="E31" s="5">
        <v>24.963999999999999</v>
      </c>
      <c r="F31" s="5" t="s">
        <v>31</v>
      </c>
      <c r="G31" s="13" t="s">
        <v>24</v>
      </c>
      <c r="H31" s="5" t="s">
        <v>31</v>
      </c>
      <c r="I31" s="4" t="s">
        <v>31</v>
      </c>
      <c r="J31" s="4"/>
      <c r="K31" s="4" t="s">
        <v>70</v>
      </c>
      <c r="L31" s="4">
        <v>2</v>
      </c>
      <c r="M31" s="4" t="str">
        <f t="shared" si="0"/>
        <v>L2</v>
      </c>
      <c r="N31" s="4" t="s">
        <v>42</v>
      </c>
      <c r="O31" s="4">
        <v>108</v>
      </c>
      <c r="P31">
        <v>30</v>
      </c>
      <c r="Q31" t="s">
        <v>28</v>
      </c>
      <c r="R31" t="b">
        <f t="shared" si="1"/>
        <v>1</v>
      </c>
      <c r="S31" s="4" t="s">
        <v>104</v>
      </c>
      <c r="T31" s="3">
        <v>1530</v>
      </c>
      <c r="U31" s="4" t="s">
        <v>31</v>
      </c>
      <c r="V31" s="5">
        <v>24.963999999999999</v>
      </c>
      <c r="W31" s="5" t="s">
        <v>31</v>
      </c>
      <c r="X31" s="3" t="s">
        <v>105</v>
      </c>
      <c r="Y31" s="12" t="e">
        <f t="shared" si="2"/>
        <v>#VALUE!</v>
      </c>
      <c r="AA31" t="b">
        <f t="shared" si="3"/>
        <v>1</v>
      </c>
      <c r="AB31" s="19" t="s">
        <v>927</v>
      </c>
      <c r="AC31" s="19" t="s">
        <v>104</v>
      </c>
      <c r="AD31" s="27"/>
      <c r="AE31" s="27"/>
      <c r="AF31" s="28"/>
      <c r="AG31" s="28"/>
      <c r="AH31" s="27"/>
      <c r="AL31" s="3">
        <v>1530</v>
      </c>
      <c r="AM31" s="35"/>
      <c r="AN31" s="17"/>
      <c r="AO31" s="17"/>
      <c r="AP31" s="35"/>
      <c r="AQ31" s="3"/>
      <c r="AR31" s="3"/>
      <c r="AS31" s="4" t="s">
        <v>31</v>
      </c>
    </row>
    <row r="32" spans="1:45" x14ac:dyDescent="0.25">
      <c r="A32" s="4"/>
      <c r="B32" s="4"/>
      <c r="C32" s="4">
        <v>314</v>
      </c>
      <c r="D32" s="4" t="s">
        <v>106</v>
      </c>
      <c r="E32" s="5">
        <v>25.975999999999999</v>
      </c>
      <c r="F32" s="5">
        <v>28.07</v>
      </c>
      <c r="G32" s="13" t="s">
        <v>24</v>
      </c>
      <c r="H32" s="5" t="s">
        <v>24</v>
      </c>
      <c r="I32" s="4" t="s">
        <v>25</v>
      </c>
      <c r="J32" s="4"/>
      <c r="K32" s="4" t="s">
        <v>73</v>
      </c>
      <c r="L32" s="4">
        <v>2</v>
      </c>
      <c r="M32" s="4" t="str">
        <f t="shared" si="0"/>
        <v>N2</v>
      </c>
      <c r="N32" s="4" t="s">
        <v>42</v>
      </c>
      <c r="O32" s="4">
        <v>110</v>
      </c>
      <c r="P32">
        <v>31</v>
      </c>
      <c r="Q32" t="s">
        <v>28</v>
      </c>
      <c r="R32" t="b">
        <f t="shared" si="1"/>
        <v>1</v>
      </c>
      <c r="S32" s="4" t="s">
        <v>106</v>
      </c>
      <c r="T32" s="3">
        <v>1531</v>
      </c>
      <c r="U32" s="6" t="s">
        <v>25</v>
      </c>
      <c r="V32" s="5">
        <v>25.975999999999999</v>
      </c>
      <c r="W32" s="5">
        <v>28.07</v>
      </c>
      <c r="X32" s="3" t="s">
        <v>107</v>
      </c>
      <c r="Y32" s="12">
        <f t="shared" si="2"/>
        <v>-2.0940000000000012</v>
      </c>
      <c r="AA32" t="b">
        <f t="shared" si="3"/>
        <v>1</v>
      </c>
      <c r="AB32" s="19" t="s">
        <v>928</v>
      </c>
      <c r="AC32" s="19" t="s">
        <v>106</v>
      </c>
      <c r="AD32" s="24">
        <v>706.43</v>
      </c>
      <c r="AE32" s="24"/>
      <c r="AF32" s="24">
        <v>421</v>
      </c>
      <c r="AG32" s="28"/>
      <c r="AH32" s="3" t="s">
        <v>19</v>
      </c>
      <c r="AL32" s="3">
        <v>1531</v>
      </c>
      <c r="AM32" s="17">
        <v>706.43</v>
      </c>
      <c r="AN32" s="40">
        <f>(AM32-122)/3</f>
        <v>194.80999999999997</v>
      </c>
      <c r="AO32" s="40">
        <f>AN32*1.0425+1.2088</f>
        <v>204.29822499999997</v>
      </c>
      <c r="AP32" s="17"/>
      <c r="AQ32" s="3"/>
      <c r="AR32" s="3"/>
      <c r="AS32" s="4" t="s">
        <v>25</v>
      </c>
    </row>
    <row r="33" spans="1:45" x14ac:dyDescent="0.25">
      <c r="A33" s="4"/>
      <c r="B33" s="4"/>
      <c r="C33" s="4">
        <v>362</v>
      </c>
      <c r="D33" s="4" t="s">
        <v>108</v>
      </c>
      <c r="E33" s="5">
        <v>24.004999999999999</v>
      </c>
      <c r="F33" s="5" t="s">
        <v>31</v>
      </c>
      <c r="G33" s="13" t="s">
        <v>24</v>
      </c>
      <c r="H33" s="5" t="s">
        <v>31</v>
      </c>
      <c r="I33" s="4" t="s">
        <v>31</v>
      </c>
      <c r="J33" s="4"/>
      <c r="K33" s="4" t="s">
        <v>76</v>
      </c>
      <c r="L33" s="4">
        <v>2</v>
      </c>
      <c r="M33" s="4" t="str">
        <f t="shared" si="0"/>
        <v>P2</v>
      </c>
      <c r="N33" s="4" t="s">
        <v>42</v>
      </c>
      <c r="O33" s="4">
        <v>112</v>
      </c>
      <c r="P33">
        <v>32</v>
      </c>
      <c r="Q33" t="s">
        <v>28</v>
      </c>
      <c r="R33" t="b">
        <f t="shared" si="1"/>
        <v>1</v>
      </c>
      <c r="S33" s="4" t="s">
        <v>108</v>
      </c>
      <c r="T33" s="3">
        <v>1532</v>
      </c>
      <c r="U33" s="4" t="s">
        <v>31</v>
      </c>
      <c r="V33" s="5">
        <v>24.004999999999999</v>
      </c>
      <c r="W33" s="5" t="s">
        <v>31</v>
      </c>
      <c r="X33" s="3" t="s">
        <v>109</v>
      </c>
      <c r="Y33" s="12" t="e">
        <f t="shared" si="2"/>
        <v>#VALUE!</v>
      </c>
      <c r="AA33" t="b">
        <f t="shared" si="3"/>
        <v>1</v>
      </c>
      <c r="AB33" s="19" t="s">
        <v>929</v>
      </c>
      <c r="AC33" s="19" t="s">
        <v>108</v>
      </c>
      <c r="AD33" s="27"/>
      <c r="AE33" s="27"/>
      <c r="AF33" s="28"/>
      <c r="AG33" s="28"/>
      <c r="AH33" s="27"/>
      <c r="AL33" s="3">
        <v>1532</v>
      </c>
      <c r="AM33" s="35"/>
      <c r="AN33" s="17"/>
      <c r="AO33" s="17"/>
      <c r="AP33" s="35"/>
      <c r="AQ33" s="3"/>
      <c r="AR33" s="3"/>
      <c r="AS33" s="4" t="s">
        <v>31</v>
      </c>
    </row>
    <row r="34" spans="1:45" x14ac:dyDescent="0.25">
      <c r="A34" s="4"/>
      <c r="B34" s="4"/>
      <c r="C34" s="4">
        <v>3</v>
      </c>
      <c r="D34" s="4" t="s">
        <v>110</v>
      </c>
      <c r="E34" s="5" t="s">
        <v>31</v>
      </c>
      <c r="F34" s="5" t="s">
        <v>31</v>
      </c>
      <c r="G34" s="13" t="s">
        <v>31</v>
      </c>
      <c r="H34" s="5" t="s">
        <v>31</v>
      </c>
      <c r="I34" s="5" t="s">
        <v>19</v>
      </c>
      <c r="J34" s="4"/>
      <c r="K34" s="4" t="s">
        <v>26</v>
      </c>
      <c r="L34" s="4">
        <v>3</v>
      </c>
      <c r="M34" s="4" t="str">
        <f t="shared" si="0"/>
        <v>A3</v>
      </c>
      <c r="N34" s="4" t="s">
        <v>27</v>
      </c>
      <c r="O34" s="4">
        <v>17</v>
      </c>
      <c r="P34">
        <v>33</v>
      </c>
      <c r="Q34" t="s">
        <v>28</v>
      </c>
      <c r="R34" t="b">
        <f t="shared" si="1"/>
        <v>1</v>
      </c>
      <c r="S34" s="4" t="s">
        <v>110</v>
      </c>
      <c r="T34" s="3">
        <v>1533</v>
      </c>
      <c r="U34" s="4" t="s">
        <v>25</v>
      </c>
      <c r="V34" s="5" t="s">
        <v>31</v>
      </c>
      <c r="W34" s="5" t="s">
        <v>31</v>
      </c>
      <c r="X34" s="3" t="s">
        <v>111</v>
      </c>
      <c r="Y34" s="12" t="e">
        <f t="shared" si="2"/>
        <v>#VALUE!</v>
      </c>
      <c r="Z34" s="16" t="s">
        <v>19</v>
      </c>
      <c r="AA34" t="b">
        <f t="shared" si="3"/>
        <v>1</v>
      </c>
      <c r="AB34" s="19" t="s">
        <v>930</v>
      </c>
      <c r="AC34" s="19" t="s">
        <v>110</v>
      </c>
      <c r="AD34" s="3">
        <v>712.04</v>
      </c>
      <c r="AE34" s="3"/>
      <c r="AF34" s="3">
        <v>662</v>
      </c>
      <c r="AG34" s="28">
        <v>2457</v>
      </c>
      <c r="AH34" s="3" t="s">
        <v>19</v>
      </c>
      <c r="AL34" s="3">
        <v>1533</v>
      </c>
      <c r="AM34" s="17">
        <v>712.04</v>
      </c>
      <c r="AN34" s="40">
        <f t="shared" ref="AN34:AN42" si="8">(AM34-122)/3</f>
        <v>196.67999999999998</v>
      </c>
      <c r="AO34" s="40">
        <f t="shared" ref="AO34:AO42" si="9">AN34*1.0425+1.2088</f>
        <v>206.24769999999998</v>
      </c>
      <c r="AP34" s="17"/>
      <c r="AQ34" s="3"/>
      <c r="AR34" s="3"/>
      <c r="AS34" s="4" t="s">
        <v>25</v>
      </c>
    </row>
    <row r="35" spans="1:45" x14ac:dyDescent="0.25">
      <c r="A35" s="4"/>
      <c r="B35" s="4"/>
      <c r="C35" s="4">
        <v>51</v>
      </c>
      <c r="D35" s="4" t="s">
        <v>112</v>
      </c>
      <c r="E35" s="5">
        <v>25.728000000000002</v>
      </c>
      <c r="F35" s="5">
        <v>27.670999999999999</v>
      </c>
      <c r="G35" s="13" t="s">
        <v>24</v>
      </c>
      <c r="H35" s="5" t="s">
        <v>24</v>
      </c>
      <c r="I35" s="4" t="s">
        <v>25</v>
      </c>
      <c r="J35" s="4"/>
      <c r="K35" s="4" t="s">
        <v>32</v>
      </c>
      <c r="L35" s="4">
        <v>3</v>
      </c>
      <c r="M35" s="4" t="str">
        <f t="shared" si="0"/>
        <v>C3</v>
      </c>
      <c r="N35" s="4" t="s">
        <v>27</v>
      </c>
      <c r="O35" s="4">
        <v>19</v>
      </c>
      <c r="P35">
        <v>34</v>
      </c>
      <c r="Q35" t="s">
        <v>28</v>
      </c>
      <c r="R35" t="b">
        <f t="shared" si="1"/>
        <v>1</v>
      </c>
      <c r="S35" s="4" t="s">
        <v>112</v>
      </c>
      <c r="T35" s="3">
        <v>1534</v>
      </c>
      <c r="U35" s="4" t="s">
        <v>25</v>
      </c>
      <c r="V35" s="5">
        <v>25.728000000000002</v>
      </c>
      <c r="W35" s="5">
        <v>27.670999999999999</v>
      </c>
      <c r="X35" s="3" t="s">
        <v>113</v>
      </c>
      <c r="Y35" s="12">
        <f t="shared" si="2"/>
        <v>-1.9429999999999978</v>
      </c>
      <c r="AA35" t="b">
        <f t="shared" si="3"/>
        <v>1</v>
      </c>
      <c r="AB35" s="19" t="s">
        <v>931</v>
      </c>
      <c r="AC35" s="19" t="s">
        <v>112</v>
      </c>
      <c r="AD35" s="3">
        <v>709.07</v>
      </c>
      <c r="AE35" s="3"/>
      <c r="AF35" s="3">
        <v>383</v>
      </c>
      <c r="AG35" s="28"/>
      <c r="AH35" s="3" t="s">
        <v>19</v>
      </c>
      <c r="AL35" s="3">
        <v>1534</v>
      </c>
      <c r="AM35" s="17">
        <v>709.07</v>
      </c>
      <c r="AN35" s="40">
        <f t="shared" si="8"/>
        <v>195.69000000000003</v>
      </c>
      <c r="AO35" s="40">
        <f t="shared" si="9"/>
        <v>205.21562500000002</v>
      </c>
      <c r="AP35" s="17"/>
      <c r="AQ35" s="3"/>
      <c r="AR35" s="3"/>
      <c r="AS35" s="4" t="s">
        <v>25</v>
      </c>
    </row>
    <row r="36" spans="1:45" x14ac:dyDescent="0.25">
      <c r="A36" s="4"/>
      <c r="B36" s="4"/>
      <c r="C36" s="4">
        <v>99</v>
      </c>
      <c r="D36" s="4" t="s">
        <v>114</v>
      </c>
      <c r="E36" s="5">
        <v>25.602</v>
      </c>
      <c r="F36" s="5">
        <v>27.62</v>
      </c>
      <c r="G36" s="13" t="s">
        <v>24</v>
      </c>
      <c r="H36" s="5" t="s">
        <v>24</v>
      </c>
      <c r="I36" s="4" t="s">
        <v>25</v>
      </c>
      <c r="J36" s="4"/>
      <c r="K36" s="4" t="s">
        <v>35</v>
      </c>
      <c r="L36" s="4">
        <v>3</v>
      </c>
      <c r="M36" s="4" t="str">
        <f t="shared" si="0"/>
        <v>E3</v>
      </c>
      <c r="N36" s="4" t="s">
        <v>27</v>
      </c>
      <c r="O36" s="4">
        <v>21</v>
      </c>
      <c r="P36">
        <v>35</v>
      </c>
      <c r="Q36" t="s">
        <v>28</v>
      </c>
      <c r="R36" t="b">
        <f t="shared" si="1"/>
        <v>1</v>
      </c>
      <c r="S36" s="4" t="s">
        <v>114</v>
      </c>
      <c r="T36" s="3">
        <v>1535</v>
      </c>
      <c r="U36" s="4" t="s">
        <v>25</v>
      </c>
      <c r="V36" s="5">
        <v>25.602</v>
      </c>
      <c r="W36" s="5">
        <v>27.62</v>
      </c>
      <c r="X36" s="3" t="s">
        <v>115</v>
      </c>
      <c r="Y36" s="12">
        <f t="shared" si="2"/>
        <v>-2.0180000000000007</v>
      </c>
      <c r="AA36" t="b">
        <f t="shared" si="3"/>
        <v>1</v>
      </c>
      <c r="AB36" s="19" t="s">
        <v>932</v>
      </c>
      <c r="AC36" s="19" t="s">
        <v>114</v>
      </c>
      <c r="AD36" s="27">
        <v>699.94</v>
      </c>
      <c r="AE36" s="27"/>
      <c r="AF36" s="28">
        <v>77</v>
      </c>
      <c r="AG36" s="28">
        <v>1854</v>
      </c>
      <c r="AH36" s="27"/>
      <c r="AL36" s="3">
        <v>1535</v>
      </c>
      <c r="AM36" s="35">
        <v>699.94</v>
      </c>
      <c r="AN36" s="40">
        <f t="shared" si="8"/>
        <v>192.64666666666668</v>
      </c>
      <c r="AO36" s="40">
        <f t="shared" si="9"/>
        <v>202.04294999999999</v>
      </c>
      <c r="AP36" s="35"/>
      <c r="AQ36" s="3"/>
      <c r="AR36" s="3"/>
      <c r="AS36" s="4" t="s">
        <v>25</v>
      </c>
    </row>
    <row r="37" spans="1:45" x14ac:dyDescent="0.25">
      <c r="A37" s="4"/>
      <c r="B37" s="4"/>
      <c r="C37" s="4">
        <v>147</v>
      </c>
      <c r="D37" s="4" t="s">
        <v>116</v>
      </c>
      <c r="E37" s="5">
        <v>25.994</v>
      </c>
      <c r="F37" s="5">
        <v>28.088000000000001</v>
      </c>
      <c r="G37" s="13" t="s">
        <v>24</v>
      </c>
      <c r="H37" s="5" t="s">
        <v>24</v>
      </c>
      <c r="I37" s="4" t="s">
        <v>25</v>
      </c>
      <c r="J37" s="4"/>
      <c r="K37" s="4" t="s">
        <v>38</v>
      </c>
      <c r="L37" s="4">
        <v>3</v>
      </c>
      <c r="M37" s="4" t="str">
        <f t="shared" si="0"/>
        <v>G3</v>
      </c>
      <c r="N37" s="4" t="s">
        <v>27</v>
      </c>
      <c r="O37" s="4">
        <v>23</v>
      </c>
      <c r="P37">
        <v>36</v>
      </c>
      <c r="Q37" t="s">
        <v>28</v>
      </c>
      <c r="R37" t="b">
        <f t="shared" si="1"/>
        <v>1</v>
      </c>
      <c r="S37" s="4" t="s">
        <v>116</v>
      </c>
      <c r="T37" s="3">
        <v>1536</v>
      </c>
      <c r="U37" s="4" t="s">
        <v>25</v>
      </c>
      <c r="V37" s="5">
        <v>25.994</v>
      </c>
      <c r="W37" s="5">
        <v>28.088000000000001</v>
      </c>
      <c r="X37" s="3" t="s">
        <v>117</v>
      </c>
      <c r="Y37" s="12">
        <f t="shared" si="2"/>
        <v>-2.0940000000000012</v>
      </c>
      <c r="AA37" t="b">
        <f t="shared" si="3"/>
        <v>1</v>
      </c>
      <c r="AB37" s="19" t="s">
        <v>933</v>
      </c>
      <c r="AC37" s="19" t="s">
        <v>116</v>
      </c>
      <c r="AD37" s="27">
        <v>705.68</v>
      </c>
      <c r="AE37" s="27"/>
      <c r="AF37" s="28">
        <v>60</v>
      </c>
      <c r="AG37" s="28">
        <v>1210</v>
      </c>
      <c r="AH37" s="27"/>
      <c r="AL37" s="3">
        <v>1536</v>
      </c>
      <c r="AM37" s="35">
        <v>705.68</v>
      </c>
      <c r="AN37" s="40">
        <f t="shared" si="8"/>
        <v>194.55999999999997</v>
      </c>
      <c r="AO37" s="40">
        <f t="shared" si="9"/>
        <v>204.03759999999997</v>
      </c>
      <c r="AP37" s="35"/>
      <c r="AQ37" s="3"/>
      <c r="AR37" s="3"/>
      <c r="AS37" s="4" t="s">
        <v>25</v>
      </c>
    </row>
    <row r="38" spans="1:45" x14ac:dyDescent="0.25">
      <c r="A38" s="4"/>
      <c r="B38" s="4"/>
      <c r="C38" s="4">
        <v>195</v>
      </c>
      <c r="D38" s="4" t="s">
        <v>118</v>
      </c>
      <c r="E38" s="5">
        <v>39.267000000000003</v>
      </c>
      <c r="F38" s="5">
        <v>26.187000000000001</v>
      </c>
      <c r="G38" s="13" t="s">
        <v>19</v>
      </c>
      <c r="H38" s="5" t="s">
        <v>24</v>
      </c>
      <c r="I38" s="4" t="s">
        <v>63</v>
      </c>
      <c r="J38" s="4"/>
      <c r="K38" s="4" t="s">
        <v>41</v>
      </c>
      <c r="L38" s="4">
        <v>3</v>
      </c>
      <c r="M38" s="4" t="str">
        <f t="shared" si="0"/>
        <v>I3</v>
      </c>
      <c r="N38" s="4" t="s">
        <v>42</v>
      </c>
      <c r="O38" s="4">
        <v>113</v>
      </c>
      <c r="P38">
        <v>37</v>
      </c>
      <c r="Q38" t="s">
        <v>28</v>
      </c>
      <c r="R38" t="b">
        <f t="shared" si="1"/>
        <v>1</v>
      </c>
      <c r="S38" s="4" t="s">
        <v>118</v>
      </c>
      <c r="T38" s="3">
        <v>1537</v>
      </c>
      <c r="U38" s="4" t="s">
        <v>63</v>
      </c>
      <c r="V38" s="5">
        <v>39.267000000000003</v>
      </c>
      <c r="W38" s="5">
        <v>26.187000000000001</v>
      </c>
      <c r="X38" s="3" t="s">
        <v>119</v>
      </c>
      <c r="Y38" s="12">
        <f t="shared" si="2"/>
        <v>13.080000000000002</v>
      </c>
      <c r="AA38" t="b">
        <f t="shared" si="3"/>
        <v>1</v>
      </c>
      <c r="AB38" s="19" t="s">
        <v>934</v>
      </c>
      <c r="AC38" s="19" t="s">
        <v>118</v>
      </c>
      <c r="AD38" s="27">
        <v>708.4</v>
      </c>
      <c r="AE38" s="27"/>
      <c r="AF38" s="28">
        <v>73</v>
      </c>
      <c r="AG38" s="28">
        <v>1564</v>
      </c>
      <c r="AH38" s="27"/>
      <c r="AL38" s="3">
        <v>1537</v>
      </c>
      <c r="AM38" s="35">
        <v>708.4</v>
      </c>
      <c r="AN38" s="40">
        <f t="shared" si="8"/>
        <v>195.46666666666667</v>
      </c>
      <c r="AO38" s="40">
        <f t="shared" si="9"/>
        <v>204.9828</v>
      </c>
      <c r="AP38" s="35"/>
      <c r="AQ38" s="3"/>
      <c r="AR38" s="3"/>
      <c r="AS38" s="4" t="s">
        <v>63</v>
      </c>
    </row>
    <row r="39" spans="1:45" x14ac:dyDescent="0.25">
      <c r="A39" s="4"/>
      <c r="B39" s="4"/>
      <c r="C39" s="4">
        <v>243</v>
      </c>
      <c r="D39" s="4" t="s">
        <v>120</v>
      </c>
      <c r="E39" s="5">
        <v>25.539000000000001</v>
      </c>
      <c r="F39" s="5">
        <v>27.475999999999999</v>
      </c>
      <c r="G39" s="13" t="s">
        <v>24</v>
      </c>
      <c r="H39" s="5" t="s">
        <v>24</v>
      </c>
      <c r="I39" s="4" t="s">
        <v>25</v>
      </c>
      <c r="J39" s="4"/>
      <c r="K39" s="4" t="s">
        <v>45</v>
      </c>
      <c r="L39" s="4">
        <v>3</v>
      </c>
      <c r="M39" s="4" t="str">
        <f t="shared" si="0"/>
        <v>K3</v>
      </c>
      <c r="N39" s="4" t="s">
        <v>42</v>
      </c>
      <c r="O39" s="4">
        <v>115</v>
      </c>
      <c r="P39">
        <v>38</v>
      </c>
      <c r="Q39" t="s">
        <v>28</v>
      </c>
      <c r="R39" t="b">
        <f t="shared" si="1"/>
        <v>1</v>
      </c>
      <c r="S39" s="4" t="s">
        <v>120</v>
      </c>
      <c r="T39" s="3">
        <v>1538</v>
      </c>
      <c r="U39" s="4" t="s">
        <v>25</v>
      </c>
      <c r="V39" s="5">
        <v>25.539000000000001</v>
      </c>
      <c r="W39" s="5">
        <v>27.475999999999999</v>
      </c>
      <c r="X39" s="3" t="s">
        <v>121</v>
      </c>
      <c r="Y39" s="12">
        <f t="shared" si="2"/>
        <v>-1.9369999999999976</v>
      </c>
      <c r="AA39" t="b">
        <f t="shared" si="3"/>
        <v>1</v>
      </c>
      <c r="AB39" s="19" t="s">
        <v>935</v>
      </c>
      <c r="AC39" s="19" t="s">
        <v>120</v>
      </c>
      <c r="AD39" s="27">
        <v>688.35</v>
      </c>
      <c r="AE39" s="27"/>
      <c r="AF39" s="28">
        <v>75</v>
      </c>
      <c r="AG39" s="28">
        <v>1748</v>
      </c>
      <c r="AH39" s="27"/>
      <c r="AL39" s="3">
        <v>1538</v>
      </c>
      <c r="AM39" s="35">
        <v>688.35</v>
      </c>
      <c r="AN39" s="40">
        <f t="shared" si="8"/>
        <v>188.78333333333333</v>
      </c>
      <c r="AO39" s="40">
        <f t="shared" si="9"/>
        <v>198.01542499999999</v>
      </c>
      <c r="AP39" s="35"/>
      <c r="AQ39" s="3"/>
      <c r="AR39" s="3"/>
      <c r="AS39" s="4" t="s">
        <v>25</v>
      </c>
    </row>
    <row r="40" spans="1:45" x14ac:dyDescent="0.25">
      <c r="A40" s="4"/>
      <c r="B40" s="4"/>
      <c r="C40" s="4">
        <v>291</v>
      </c>
      <c r="D40" s="4" t="s">
        <v>122</v>
      </c>
      <c r="E40" s="5">
        <v>39.392000000000003</v>
      </c>
      <c r="F40" s="5">
        <v>25.85</v>
      </c>
      <c r="G40" s="13" t="s">
        <v>19</v>
      </c>
      <c r="H40" s="5" t="s">
        <v>24</v>
      </c>
      <c r="I40" s="4" t="s">
        <v>63</v>
      </c>
      <c r="J40" s="4"/>
      <c r="K40" s="4" t="s">
        <v>48</v>
      </c>
      <c r="L40" s="4">
        <v>3</v>
      </c>
      <c r="M40" s="4" t="str">
        <f t="shared" si="0"/>
        <v>M3</v>
      </c>
      <c r="N40" s="4" t="s">
        <v>42</v>
      </c>
      <c r="O40" s="4">
        <v>117</v>
      </c>
      <c r="P40">
        <v>39</v>
      </c>
      <c r="Q40" t="s">
        <v>28</v>
      </c>
      <c r="R40" t="b">
        <f t="shared" si="1"/>
        <v>1</v>
      </c>
      <c r="S40" s="4" t="s">
        <v>122</v>
      </c>
      <c r="T40" s="3">
        <v>1539</v>
      </c>
      <c r="U40" s="4" t="s">
        <v>63</v>
      </c>
      <c r="V40" s="5">
        <v>39.392000000000003</v>
      </c>
      <c r="W40" s="5">
        <v>25.85</v>
      </c>
      <c r="X40" s="3" t="s">
        <v>123</v>
      </c>
      <c r="Y40" s="12">
        <f t="shared" si="2"/>
        <v>13.542000000000002</v>
      </c>
      <c r="AA40" t="b">
        <f t="shared" si="3"/>
        <v>1</v>
      </c>
      <c r="AB40" s="19" t="s">
        <v>936</v>
      </c>
      <c r="AC40" s="19" t="s">
        <v>122</v>
      </c>
      <c r="AD40" s="27">
        <v>691.18</v>
      </c>
      <c r="AE40" s="27"/>
      <c r="AF40" s="28">
        <v>94</v>
      </c>
      <c r="AG40" s="28">
        <v>2270</v>
      </c>
      <c r="AH40" s="27"/>
      <c r="AL40" s="3">
        <v>1539</v>
      </c>
      <c r="AM40" s="35">
        <v>691.18</v>
      </c>
      <c r="AN40" s="40">
        <f t="shared" si="8"/>
        <v>189.72666666666666</v>
      </c>
      <c r="AO40" s="40">
        <f t="shared" si="9"/>
        <v>198.99884999999998</v>
      </c>
      <c r="AP40" s="35"/>
      <c r="AQ40" s="3"/>
      <c r="AR40" s="3"/>
      <c r="AS40" s="4" t="s">
        <v>63</v>
      </c>
    </row>
    <row r="41" spans="1:45" x14ac:dyDescent="0.25">
      <c r="A41" s="4"/>
      <c r="B41" s="4"/>
      <c r="C41" s="4">
        <v>339</v>
      </c>
      <c r="D41" s="4" t="s">
        <v>124</v>
      </c>
      <c r="E41" s="5">
        <v>25.405000000000001</v>
      </c>
      <c r="F41" s="5">
        <v>27.472999999999999</v>
      </c>
      <c r="G41" s="13" t="s">
        <v>24</v>
      </c>
      <c r="H41" s="5" t="s">
        <v>24</v>
      </c>
      <c r="I41" s="4" t="s">
        <v>25</v>
      </c>
      <c r="J41" s="4"/>
      <c r="K41" s="4" t="s">
        <v>51</v>
      </c>
      <c r="L41" s="4">
        <v>3</v>
      </c>
      <c r="M41" s="4" t="str">
        <f t="shared" si="0"/>
        <v>O3</v>
      </c>
      <c r="N41" s="4" t="s">
        <v>42</v>
      </c>
      <c r="O41" s="4">
        <v>119</v>
      </c>
      <c r="P41">
        <v>40</v>
      </c>
      <c r="Q41" t="s">
        <v>28</v>
      </c>
      <c r="R41" t="b">
        <f t="shared" si="1"/>
        <v>1</v>
      </c>
      <c r="S41" s="4" t="s">
        <v>124</v>
      </c>
      <c r="T41" s="3">
        <v>1540</v>
      </c>
      <c r="U41" s="4" t="s">
        <v>25</v>
      </c>
      <c r="V41" s="5">
        <v>25.405000000000001</v>
      </c>
      <c r="W41" s="5">
        <v>27.472999999999999</v>
      </c>
      <c r="X41" s="3" t="s">
        <v>125</v>
      </c>
      <c r="Y41" s="12">
        <f t="shared" si="2"/>
        <v>-2.0679999999999978</v>
      </c>
      <c r="AA41" t="b">
        <f t="shared" si="3"/>
        <v>1</v>
      </c>
      <c r="AB41" s="19" t="s">
        <v>937</v>
      </c>
      <c r="AC41" s="19" t="s">
        <v>124</v>
      </c>
      <c r="AD41" s="27">
        <v>705.2</v>
      </c>
      <c r="AE41" s="27"/>
      <c r="AF41" s="28">
        <v>50</v>
      </c>
      <c r="AG41" s="28">
        <v>1063</v>
      </c>
      <c r="AH41" s="27"/>
      <c r="AL41" s="3">
        <v>1540</v>
      </c>
      <c r="AM41" s="35">
        <v>705.2</v>
      </c>
      <c r="AN41" s="40">
        <f t="shared" si="8"/>
        <v>194.4</v>
      </c>
      <c r="AO41" s="40">
        <f t="shared" si="9"/>
        <v>203.8708</v>
      </c>
      <c r="AP41" s="35"/>
      <c r="AQ41" s="3"/>
      <c r="AR41" s="3"/>
      <c r="AS41" s="4" t="s">
        <v>25</v>
      </c>
    </row>
    <row r="42" spans="1:45" x14ac:dyDescent="0.25">
      <c r="A42" s="4"/>
      <c r="B42" s="4"/>
      <c r="C42" s="4">
        <v>27</v>
      </c>
      <c r="D42" s="4" t="s">
        <v>126</v>
      </c>
      <c r="E42" s="5">
        <v>24.617999999999999</v>
      </c>
      <c r="F42" s="5">
        <v>26.494</v>
      </c>
      <c r="G42" s="13" t="s">
        <v>24</v>
      </c>
      <c r="H42" s="5" t="s">
        <v>24</v>
      </c>
      <c r="I42" s="4" t="s">
        <v>25</v>
      </c>
      <c r="J42" s="4"/>
      <c r="K42" s="4" t="s">
        <v>54</v>
      </c>
      <c r="L42" s="4">
        <v>3</v>
      </c>
      <c r="M42" s="4" t="str">
        <f t="shared" si="0"/>
        <v>B3</v>
      </c>
      <c r="N42" s="4" t="s">
        <v>27</v>
      </c>
      <c r="O42" s="4">
        <v>18</v>
      </c>
      <c r="P42">
        <v>41</v>
      </c>
      <c r="Q42" t="s">
        <v>28</v>
      </c>
      <c r="R42" t="b">
        <f t="shared" si="1"/>
        <v>1</v>
      </c>
      <c r="S42" s="4" t="s">
        <v>126</v>
      </c>
      <c r="T42" s="3">
        <v>1541</v>
      </c>
      <c r="U42" s="4" t="s">
        <v>25</v>
      </c>
      <c r="V42" s="5">
        <v>24.617999999999999</v>
      </c>
      <c r="W42" s="5">
        <v>26.494</v>
      </c>
      <c r="X42" s="3" t="s">
        <v>127</v>
      </c>
      <c r="Y42" s="12">
        <f t="shared" si="2"/>
        <v>-1.8760000000000012</v>
      </c>
      <c r="AA42" t="b">
        <f t="shared" si="3"/>
        <v>1</v>
      </c>
      <c r="AB42" s="19" t="s">
        <v>938</v>
      </c>
      <c r="AC42" s="19" t="s">
        <v>126</v>
      </c>
      <c r="AD42" s="27">
        <v>685.16</v>
      </c>
      <c r="AE42" s="27"/>
      <c r="AF42" s="28">
        <v>85</v>
      </c>
      <c r="AG42" s="28">
        <v>1874</v>
      </c>
      <c r="AH42" s="27"/>
      <c r="AL42" s="3">
        <v>1541</v>
      </c>
      <c r="AM42" s="35">
        <v>685.16</v>
      </c>
      <c r="AN42" s="40">
        <f t="shared" si="8"/>
        <v>187.72</v>
      </c>
      <c r="AO42" s="40">
        <f t="shared" si="9"/>
        <v>196.90689999999998</v>
      </c>
      <c r="AP42" s="35"/>
      <c r="AQ42" s="3"/>
      <c r="AR42" s="3"/>
      <c r="AS42" s="4" t="s">
        <v>25</v>
      </c>
    </row>
    <row r="43" spans="1:45" x14ac:dyDescent="0.25">
      <c r="A43" s="4"/>
      <c r="B43" s="4"/>
      <c r="C43" s="4">
        <v>75</v>
      </c>
      <c r="D43" s="4" t="s">
        <v>128</v>
      </c>
      <c r="E43" s="5">
        <v>24.68</v>
      </c>
      <c r="F43" s="5" t="s">
        <v>31</v>
      </c>
      <c r="G43" s="13" t="s">
        <v>24</v>
      </c>
      <c r="H43" s="5" t="s">
        <v>31</v>
      </c>
      <c r="I43" s="4" t="s">
        <v>31</v>
      </c>
      <c r="J43" s="4"/>
      <c r="K43" s="4" t="s">
        <v>57</v>
      </c>
      <c r="L43" s="4">
        <v>3</v>
      </c>
      <c r="M43" s="4" t="str">
        <f t="shared" si="0"/>
        <v>D3</v>
      </c>
      <c r="N43" s="4" t="s">
        <v>27</v>
      </c>
      <c r="O43" s="4">
        <v>20</v>
      </c>
      <c r="P43">
        <v>42</v>
      </c>
      <c r="Q43" t="s">
        <v>28</v>
      </c>
      <c r="R43" t="b">
        <f t="shared" si="1"/>
        <v>1</v>
      </c>
      <c r="S43" s="4" t="s">
        <v>128</v>
      </c>
      <c r="T43" s="3">
        <v>1542</v>
      </c>
      <c r="U43" s="4" t="s">
        <v>31</v>
      </c>
      <c r="V43" s="5">
        <v>24.68</v>
      </c>
      <c r="W43" s="5" t="s">
        <v>31</v>
      </c>
      <c r="X43" s="3" t="s">
        <v>129</v>
      </c>
      <c r="Y43" s="12" t="e">
        <f t="shared" si="2"/>
        <v>#VALUE!</v>
      </c>
      <c r="AA43" t="b">
        <f t="shared" si="3"/>
        <v>1</v>
      </c>
      <c r="AB43" s="19" t="s">
        <v>939</v>
      </c>
      <c r="AC43" s="19" t="s">
        <v>128</v>
      </c>
      <c r="AD43" s="27"/>
      <c r="AE43" s="27"/>
      <c r="AF43" s="28"/>
      <c r="AG43" s="28"/>
      <c r="AH43" s="27"/>
      <c r="AL43" s="3">
        <v>1542</v>
      </c>
      <c r="AM43" s="35"/>
      <c r="AN43" s="17"/>
      <c r="AO43" s="17"/>
      <c r="AP43" s="35"/>
      <c r="AQ43" s="3"/>
      <c r="AR43" s="3"/>
      <c r="AS43" s="4" t="s">
        <v>31</v>
      </c>
    </row>
    <row r="44" spans="1:45" x14ac:dyDescent="0.25">
      <c r="A44" s="4"/>
      <c r="B44" s="4"/>
      <c r="C44" s="4">
        <v>123</v>
      </c>
      <c r="D44" s="4" t="s">
        <v>130</v>
      </c>
      <c r="E44" s="5">
        <v>24.92</v>
      </c>
      <c r="F44" s="5">
        <v>26.861999999999998</v>
      </c>
      <c r="G44" s="13" t="s">
        <v>24</v>
      </c>
      <c r="H44" s="5" t="s">
        <v>24</v>
      </c>
      <c r="I44" s="4" t="s">
        <v>25</v>
      </c>
      <c r="J44" s="4"/>
      <c r="K44" s="4" t="s">
        <v>60</v>
      </c>
      <c r="L44" s="4">
        <v>3</v>
      </c>
      <c r="M44" s="4" t="str">
        <f t="shared" si="0"/>
        <v>F3</v>
      </c>
      <c r="N44" s="4" t="s">
        <v>27</v>
      </c>
      <c r="O44" s="4">
        <v>22</v>
      </c>
      <c r="P44">
        <v>43</v>
      </c>
      <c r="Q44" t="s">
        <v>28</v>
      </c>
      <c r="R44" t="b">
        <f t="shared" si="1"/>
        <v>1</v>
      </c>
      <c r="S44" s="4" t="s">
        <v>130</v>
      </c>
      <c r="T44" s="3">
        <v>1543</v>
      </c>
      <c r="U44" s="4" t="s">
        <v>25</v>
      </c>
      <c r="V44" s="5">
        <v>24.92</v>
      </c>
      <c r="W44" s="5">
        <v>26.861999999999998</v>
      </c>
      <c r="X44" s="3" t="s">
        <v>131</v>
      </c>
      <c r="Y44" s="12">
        <f t="shared" si="2"/>
        <v>-1.9419999999999966</v>
      </c>
      <c r="AA44" t="b">
        <f t="shared" si="3"/>
        <v>1</v>
      </c>
      <c r="AB44" s="19" t="s">
        <v>940</v>
      </c>
      <c r="AC44" s="19" t="s">
        <v>130</v>
      </c>
      <c r="AD44" s="27">
        <v>714.17</v>
      </c>
      <c r="AE44" s="27"/>
      <c r="AF44" s="28">
        <v>86</v>
      </c>
      <c r="AG44" s="28">
        <v>1896</v>
      </c>
      <c r="AH44" s="27"/>
      <c r="AL44" s="3">
        <v>1543</v>
      </c>
      <c r="AM44" s="35">
        <v>714.17</v>
      </c>
      <c r="AN44" s="40">
        <f>(AM44-122)/3</f>
        <v>197.39</v>
      </c>
      <c r="AO44" s="40">
        <f>AN44*1.0425+1.2088</f>
        <v>206.98787499999997</v>
      </c>
      <c r="AP44" s="35"/>
      <c r="AQ44" s="3"/>
      <c r="AR44" s="3"/>
      <c r="AS44" s="4" t="s">
        <v>25</v>
      </c>
    </row>
    <row r="45" spans="1:45" x14ac:dyDescent="0.25">
      <c r="A45" s="4"/>
      <c r="B45" s="4"/>
      <c r="C45" s="4">
        <v>171</v>
      </c>
      <c r="D45" s="4" t="s">
        <v>132</v>
      </c>
      <c r="E45" s="5">
        <v>25.227</v>
      </c>
      <c r="F45" s="5">
        <v>27.274999999999999</v>
      </c>
      <c r="G45" s="13" t="s">
        <v>24</v>
      </c>
      <c r="H45" s="5" t="s">
        <v>24</v>
      </c>
      <c r="I45" s="4" t="s">
        <v>25</v>
      </c>
      <c r="J45" s="4"/>
      <c r="K45" s="4" t="s">
        <v>64</v>
      </c>
      <c r="L45" s="4">
        <v>3</v>
      </c>
      <c r="M45" s="4" t="str">
        <f t="shared" si="0"/>
        <v>H3</v>
      </c>
      <c r="N45" s="4" t="s">
        <v>27</v>
      </c>
      <c r="O45" s="4">
        <v>24</v>
      </c>
      <c r="P45">
        <v>44</v>
      </c>
      <c r="Q45" t="s">
        <v>28</v>
      </c>
      <c r="R45" t="b">
        <f t="shared" si="1"/>
        <v>1</v>
      </c>
      <c r="S45" s="4" t="s">
        <v>132</v>
      </c>
      <c r="T45" s="3">
        <v>1544</v>
      </c>
      <c r="U45" s="4" t="s">
        <v>25</v>
      </c>
      <c r="V45" s="5">
        <v>25.227</v>
      </c>
      <c r="W45" s="5">
        <v>27.274999999999999</v>
      </c>
      <c r="X45" s="3" t="s">
        <v>133</v>
      </c>
      <c r="Y45" s="12">
        <f t="shared" si="2"/>
        <v>-2.0479999999999983</v>
      </c>
      <c r="AA45" t="b">
        <f t="shared" si="3"/>
        <v>1</v>
      </c>
      <c r="AB45" s="19" t="s">
        <v>941</v>
      </c>
      <c r="AC45" s="19" t="s">
        <v>132</v>
      </c>
      <c r="AD45" s="27">
        <v>719.76</v>
      </c>
      <c r="AE45" s="27"/>
      <c r="AF45" s="28">
        <v>59</v>
      </c>
      <c r="AG45" s="28">
        <v>1338</v>
      </c>
      <c r="AH45" s="27"/>
      <c r="AL45" s="3">
        <v>1544</v>
      </c>
      <c r="AM45" s="35">
        <v>719.76</v>
      </c>
      <c r="AN45" s="40">
        <f>(AM45-122)/3</f>
        <v>199.25333333333333</v>
      </c>
      <c r="AO45" s="40">
        <f>AN45*1.0425+1.2088</f>
        <v>208.93039999999999</v>
      </c>
      <c r="AP45" s="35"/>
      <c r="AQ45" s="3"/>
      <c r="AR45" s="3"/>
      <c r="AS45" s="4" t="s">
        <v>25</v>
      </c>
    </row>
    <row r="46" spans="1:45" x14ac:dyDescent="0.25">
      <c r="A46" s="4"/>
      <c r="B46" s="4"/>
      <c r="C46" s="4">
        <v>219</v>
      </c>
      <c r="D46" s="4" t="s">
        <v>134</v>
      </c>
      <c r="E46" s="5">
        <v>24.151</v>
      </c>
      <c r="F46" s="5" t="s">
        <v>31</v>
      </c>
      <c r="G46" s="13" t="s">
        <v>24</v>
      </c>
      <c r="H46" s="5" t="s">
        <v>31</v>
      </c>
      <c r="I46" s="4" t="s">
        <v>31</v>
      </c>
      <c r="J46" s="4"/>
      <c r="K46" s="4" t="s">
        <v>67</v>
      </c>
      <c r="L46" s="4">
        <v>3</v>
      </c>
      <c r="M46" s="4" t="str">
        <f t="shared" si="0"/>
        <v>J3</v>
      </c>
      <c r="N46" s="4" t="s">
        <v>42</v>
      </c>
      <c r="O46" s="4">
        <v>114</v>
      </c>
      <c r="P46">
        <v>45</v>
      </c>
      <c r="Q46" t="s">
        <v>28</v>
      </c>
      <c r="R46" t="b">
        <f t="shared" si="1"/>
        <v>1</v>
      </c>
      <c r="S46" s="4" t="s">
        <v>134</v>
      </c>
      <c r="T46" s="3">
        <v>1545</v>
      </c>
      <c r="U46" s="4" t="s">
        <v>31</v>
      </c>
      <c r="V46" s="5">
        <v>24.151</v>
      </c>
      <c r="W46" s="5" t="s">
        <v>31</v>
      </c>
      <c r="X46" s="3" t="s">
        <v>135</v>
      </c>
      <c r="Y46" s="12" t="e">
        <f t="shared" si="2"/>
        <v>#VALUE!</v>
      </c>
      <c r="AA46" t="b">
        <f t="shared" si="3"/>
        <v>1</v>
      </c>
      <c r="AB46" s="19" t="s">
        <v>942</v>
      </c>
      <c r="AC46" s="19" t="s">
        <v>134</v>
      </c>
      <c r="AD46" s="27"/>
      <c r="AE46" s="27"/>
      <c r="AF46" s="28"/>
      <c r="AG46" s="28"/>
      <c r="AH46" s="27"/>
      <c r="AL46" s="3">
        <v>1545</v>
      </c>
      <c r="AM46" s="35"/>
      <c r="AN46" s="17"/>
      <c r="AO46" s="17"/>
      <c r="AP46" s="35"/>
      <c r="AQ46" s="3"/>
      <c r="AR46" s="3"/>
      <c r="AS46" s="4" t="s">
        <v>31</v>
      </c>
    </row>
    <row r="47" spans="1:45" x14ac:dyDescent="0.25">
      <c r="A47" s="4"/>
      <c r="B47" s="4"/>
      <c r="C47" s="4">
        <v>267</v>
      </c>
      <c r="D47" s="4" t="s">
        <v>136</v>
      </c>
      <c r="E47" s="5">
        <v>24.533999999999999</v>
      </c>
      <c r="F47" s="5" t="s">
        <v>31</v>
      </c>
      <c r="G47" s="13" t="s">
        <v>24</v>
      </c>
      <c r="H47" s="5" t="s">
        <v>31</v>
      </c>
      <c r="I47" s="4" t="s">
        <v>31</v>
      </c>
      <c r="J47" s="4"/>
      <c r="K47" s="4" t="s">
        <v>70</v>
      </c>
      <c r="L47" s="4">
        <v>3</v>
      </c>
      <c r="M47" s="4" t="str">
        <f t="shared" si="0"/>
        <v>L3</v>
      </c>
      <c r="N47" s="4" t="s">
        <v>42</v>
      </c>
      <c r="O47" s="4">
        <v>116</v>
      </c>
      <c r="P47">
        <v>46</v>
      </c>
      <c r="Q47" t="s">
        <v>28</v>
      </c>
      <c r="R47" t="b">
        <f t="shared" si="1"/>
        <v>1</v>
      </c>
      <c r="S47" s="4" t="s">
        <v>136</v>
      </c>
      <c r="T47" s="3">
        <v>1546</v>
      </c>
      <c r="U47" s="4" t="s">
        <v>31</v>
      </c>
      <c r="V47" s="5">
        <v>24.533999999999999</v>
      </c>
      <c r="W47" s="5" t="s">
        <v>31</v>
      </c>
      <c r="X47" s="3" t="s">
        <v>137</v>
      </c>
      <c r="Y47" s="12" t="e">
        <f t="shared" si="2"/>
        <v>#VALUE!</v>
      </c>
      <c r="AA47" t="b">
        <f t="shared" si="3"/>
        <v>1</v>
      </c>
      <c r="AB47" s="19" t="s">
        <v>943</v>
      </c>
      <c r="AC47" s="19" t="s">
        <v>136</v>
      </c>
      <c r="AD47" s="27"/>
      <c r="AE47" s="27"/>
      <c r="AF47" s="28"/>
      <c r="AG47" s="28"/>
      <c r="AH47" s="27"/>
      <c r="AL47" s="3">
        <v>1546</v>
      </c>
      <c r="AM47" s="35"/>
      <c r="AN47" s="17"/>
      <c r="AO47" s="17"/>
      <c r="AP47" s="35"/>
      <c r="AQ47" s="3"/>
      <c r="AR47" s="3"/>
      <c r="AS47" s="4" t="s">
        <v>31</v>
      </c>
    </row>
    <row r="48" spans="1:45" x14ac:dyDescent="0.25">
      <c r="A48" s="4"/>
      <c r="B48" s="4"/>
      <c r="C48" s="4">
        <v>315</v>
      </c>
      <c r="D48" s="4" t="s">
        <v>138</v>
      </c>
      <c r="E48" s="5">
        <v>23.952000000000002</v>
      </c>
      <c r="F48" s="5" t="s">
        <v>31</v>
      </c>
      <c r="G48" s="13" t="s">
        <v>24</v>
      </c>
      <c r="H48" s="5" t="s">
        <v>31</v>
      </c>
      <c r="I48" s="4" t="s">
        <v>31</v>
      </c>
      <c r="J48" s="4"/>
      <c r="K48" s="4" t="s">
        <v>73</v>
      </c>
      <c r="L48" s="4">
        <v>3</v>
      </c>
      <c r="M48" s="4" t="str">
        <f t="shared" si="0"/>
        <v>N3</v>
      </c>
      <c r="N48" s="4" t="s">
        <v>42</v>
      </c>
      <c r="O48" s="4">
        <v>118</v>
      </c>
      <c r="P48">
        <v>47</v>
      </c>
      <c r="Q48" t="s">
        <v>28</v>
      </c>
      <c r="R48" t="b">
        <f t="shared" si="1"/>
        <v>1</v>
      </c>
      <c r="S48" s="4" t="s">
        <v>138</v>
      </c>
      <c r="T48" s="3">
        <v>1547</v>
      </c>
      <c r="U48" s="4" t="s">
        <v>31</v>
      </c>
      <c r="V48" s="5">
        <v>23.952000000000002</v>
      </c>
      <c r="W48" s="5" t="s">
        <v>31</v>
      </c>
      <c r="X48" s="3" t="s">
        <v>139</v>
      </c>
      <c r="Y48" s="12" t="e">
        <f t="shared" si="2"/>
        <v>#VALUE!</v>
      </c>
      <c r="AA48" t="b">
        <f t="shared" si="3"/>
        <v>1</v>
      </c>
      <c r="AB48" s="19" t="s">
        <v>944</v>
      </c>
      <c r="AC48" s="19" t="s">
        <v>138</v>
      </c>
      <c r="AD48" s="27"/>
      <c r="AE48" s="27"/>
      <c r="AF48" s="28"/>
      <c r="AG48" s="28"/>
      <c r="AH48" s="27"/>
      <c r="AL48" s="3">
        <v>1547</v>
      </c>
      <c r="AM48" s="35"/>
      <c r="AN48" s="17"/>
      <c r="AO48" s="17"/>
      <c r="AP48" s="35"/>
      <c r="AQ48" s="3"/>
      <c r="AR48" s="3"/>
      <c r="AS48" s="4" t="s">
        <v>31</v>
      </c>
    </row>
    <row r="49" spans="1:45" x14ac:dyDescent="0.25">
      <c r="A49" s="4"/>
      <c r="B49" s="4"/>
      <c r="C49" s="4">
        <v>363</v>
      </c>
      <c r="D49" s="4" t="s">
        <v>140</v>
      </c>
      <c r="E49" s="5" t="s">
        <v>31</v>
      </c>
      <c r="F49" s="5">
        <v>26.477</v>
      </c>
      <c r="G49" s="13" t="s">
        <v>31</v>
      </c>
      <c r="H49" s="5" t="s">
        <v>24</v>
      </c>
      <c r="I49" s="4" t="s">
        <v>63</v>
      </c>
      <c r="J49" s="4"/>
      <c r="K49" s="4" t="s">
        <v>76</v>
      </c>
      <c r="L49" s="4">
        <v>3</v>
      </c>
      <c r="M49" s="4" t="str">
        <f t="shared" si="0"/>
        <v>P3</v>
      </c>
      <c r="N49" s="4" t="s">
        <v>42</v>
      </c>
      <c r="O49" s="4">
        <v>120</v>
      </c>
      <c r="P49">
        <v>48</v>
      </c>
      <c r="Q49" t="s">
        <v>28</v>
      </c>
      <c r="R49" t="b">
        <f t="shared" si="1"/>
        <v>1</v>
      </c>
      <c r="S49" s="4" t="s">
        <v>140</v>
      </c>
      <c r="T49" s="3">
        <v>1548</v>
      </c>
      <c r="U49" s="4" t="s">
        <v>63</v>
      </c>
      <c r="V49" s="5" t="s">
        <v>31</v>
      </c>
      <c r="W49" s="5">
        <v>26.477</v>
      </c>
      <c r="X49" s="3" t="s">
        <v>141</v>
      </c>
      <c r="Y49" s="12" t="e">
        <f t="shared" si="2"/>
        <v>#VALUE!</v>
      </c>
      <c r="AA49" t="b">
        <f t="shared" si="3"/>
        <v>1</v>
      </c>
      <c r="AB49" s="19" t="s">
        <v>945</v>
      </c>
      <c r="AC49" s="19" t="s">
        <v>140</v>
      </c>
      <c r="AD49" s="27">
        <v>713.88</v>
      </c>
      <c r="AE49" s="27"/>
      <c r="AF49" s="28">
        <v>66</v>
      </c>
      <c r="AG49" s="28">
        <v>1535</v>
      </c>
      <c r="AH49" s="27"/>
      <c r="AL49" s="3">
        <v>1548</v>
      </c>
      <c r="AM49" s="35">
        <v>713.88</v>
      </c>
      <c r="AN49" s="40">
        <f>(AM49-122)/3</f>
        <v>197.29333333333332</v>
      </c>
      <c r="AO49" s="40">
        <f>AN49*1.0425+1.2088</f>
        <v>206.88709999999998</v>
      </c>
      <c r="AP49" s="35"/>
      <c r="AQ49" s="3"/>
      <c r="AR49" s="3"/>
      <c r="AS49" s="4" t="s">
        <v>63</v>
      </c>
    </row>
    <row r="50" spans="1:45" x14ac:dyDescent="0.25">
      <c r="A50" s="4"/>
      <c r="B50" s="4"/>
      <c r="C50" s="4">
        <v>4</v>
      </c>
      <c r="D50" s="4" t="s">
        <v>142</v>
      </c>
      <c r="E50" s="5" t="s">
        <v>31</v>
      </c>
      <c r="F50" s="5">
        <v>25.414000000000001</v>
      </c>
      <c r="G50" s="13" t="s">
        <v>31</v>
      </c>
      <c r="H50" s="5" t="s">
        <v>24</v>
      </c>
      <c r="I50" s="4" t="s">
        <v>63</v>
      </c>
      <c r="J50" s="4"/>
      <c r="K50" s="4" t="s">
        <v>26</v>
      </c>
      <c r="L50" s="4">
        <v>4</v>
      </c>
      <c r="M50" s="4" t="str">
        <f t="shared" si="0"/>
        <v>A4</v>
      </c>
      <c r="N50" s="4" t="s">
        <v>27</v>
      </c>
      <c r="O50" s="4">
        <v>25</v>
      </c>
      <c r="P50">
        <v>49</v>
      </c>
      <c r="Q50" t="s">
        <v>28</v>
      </c>
      <c r="R50" t="b">
        <f t="shared" si="1"/>
        <v>1</v>
      </c>
      <c r="S50" s="4" t="s">
        <v>142</v>
      </c>
      <c r="T50" s="3">
        <v>1549</v>
      </c>
      <c r="U50" s="4" t="s">
        <v>63</v>
      </c>
      <c r="V50" s="5" t="s">
        <v>31</v>
      </c>
      <c r="W50" s="5">
        <v>25.414000000000001</v>
      </c>
      <c r="X50" s="3" t="s">
        <v>143</v>
      </c>
      <c r="Y50" s="12" t="e">
        <f t="shared" si="2"/>
        <v>#VALUE!</v>
      </c>
      <c r="AA50" t="b">
        <f t="shared" si="3"/>
        <v>1</v>
      </c>
      <c r="AB50" s="19" t="s">
        <v>946</v>
      </c>
      <c r="AC50" s="19" t="s">
        <v>142</v>
      </c>
      <c r="AD50" s="27">
        <v>685.16</v>
      </c>
      <c r="AE50" s="27"/>
      <c r="AF50" s="28">
        <v>125</v>
      </c>
      <c r="AG50" s="28">
        <v>2635</v>
      </c>
      <c r="AH50" s="27"/>
      <c r="AL50" s="3">
        <v>1549</v>
      </c>
      <c r="AM50" s="35">
        <v>685.16</v>
      </c>
      <c r="AN50" s="40">
        <f>(AM50-122)/3</f>
        <v>187.72</v>
      </c>
      <c r="AO50" s="40">
        <f>AN50*1.0425+1.2088</f>
        <v>196.90689999999998</v>
      </c>
      <c r="AP50" s="35"/>
      <c r="AQ50" s="3"/>
      <c r="AR50" s="3"/>
      <c r="AS50" s="4" t="s">
        <v>63</v>
      </c>
    </row>
    <row r="51" spans="1:45" x14ac:dyDescent="0.25">
      <c r="A51" s="4"/>
      <c r="B51" s="4"/>
      <c r="C51" s="4">
        <v>52</v>
      </c>
      <c r="D51" s="4" t="s">
        <v>144</v>
      </c>
      <c r="E51" s="5">
        <v>23.96</v>
      </c>
      <c r="F51" s="5">
        <v>37.197000000000003</v>
      </c>
      <c r="G51" s="13" t="s">
        <v>24</v>
      </c>
      <c r="H51" s="5" t="s">
        <v>19</v>
      </c>
      <c r="I51" s="5" t="s">
        <v>31</v>
      </c>
      <c r="J51" s="4"/>
      <c r="K51" s="4" t="s">
        <v>32</v>
      </c>
      <c r="L51" s="4">
        <v>4</v>
      </c>
      <c r="M51" s="4" t="str">
        <f t="shared" si="0"/>
        <v>C4</v>
      </c>
      <c r="N51" s="4" t="s">
        <v>27</v>
      </c>
      <c r="O51" s="4">
        <v>27</v>
      </c>
      <c r="P51">
        <v>50</v>
      </c>
      <c r="Q51" t="s">
        <v>28</v>
      </c>
      <c r="R51" t="b">
        <f t="shared" si="1"/>
        <v>1</v>
      </c>
      <c r="S51" s="4" t="s">
        <v>144</v>
      </c>
      <c r="T51" s="3">
        <v>1550</v>
      </c>
      <c r="U51" s="5" t="s">
        <v>31</v>
      </c>
      <c r="V51" s="5">
        <v>23.96</v>
      </c>
      <c r="W51" s="5">
        <v>37.197000000000003</v>
      </c>
      <c r="X51" s="3" t="s">
        <v>145</v>
      </c>
      <c r="Y51" s="12">
        <f t="shared" si="2"/>
        <v>-13.237000000000002</v>
      </c>
      <c r="AA51" t="b">
        <f t="shared" si="3"/>
        <v>1</v>
      </c>
      <c r="AB51" s="19" t="s">
        <v>947</v>
      </c>
      <c r="AC51" s="19" t="s">
        <v>144</v>
      </c>
      <c r="AD51" s="27"/>
      <c r="AE51" s="27"/>
      <c r="AF51" s="28"/>
      <c r="AG51" s="28"/>
      <c r="AH51" s="27"/>
      <c r="AL51" s="3">
        <v>1550</v>
      </c>
      <c r="AM51" s="35"/>
      <c r="AN51" s="17"/>
      <c r="AO51" s="17"/>
      <c r="AP51" s="35"/>
      <c r="AQ51" s="3"/>
      <c r="AR51" s="3"/>
      <c r="AS51" s="5" t="s">
        <v>31</v>
      </c>
    </row>
    <row r="52" spans="1:45" x14ac:dyDescent="0.25">
      <c r="A52" s="4"/>
      <c r="B52" s="4"/>
      <c r="C52" s="4">
        <v>100</v>
      </c>
      <c r="D52" s="4" t="s">
        <v>146</v>
      </c>
      <c r="E52" s="5">
        <v>36.784999999999997</v>
      </c>
      <c r="F52" s="5">
        <v>26.353999999999999</v>
      </c>
      <c r="G52" s="13" t="s">
        <v>19</v>
      </c>
      <c r="H52" s="5" t="s">
        <v>24</v>
      </c>
      <c r="I52" s="4" t="s">
        <v>63</v>
      </c>
      <c r="J52" s="4"/>
      <c r="K52" s="4" t="s">
        <v>35</v>
      </c>
      <c r="L52" s="4">
        <v>4</v>
      </c>
      <c r="M52" s="4" t="str">
        <f t="shared" si="0"/>
        <v>E4</v>
      </c>
      <c r="N52" s="4" t="s">
        <v>27</v>
      </c>
      <c r="O52" s="4">
        <v>29</v>
      </c>
      <c r="P52">
        <v>51</v>
      </c>
      <c r="Q52" t="s">
        <v>28</v>
      </c>
      <c r="R52" t="b">
        <f t="shared" si="1"/>
        <v>1</v>
      </c>
      <c r="S52" s="4" t="s">
        <v>146</v>
      </c>
      <c r="T52" s="3">
        <v>1551</v>
      </c>
      <c r="U52" s="4" t="s">
        <v>63</v>
      </c>
      <c r="V52" s="5">
        <v>36.784999999999997</v>
      </c>
      <c r="W52" s="5">
        <v>26.353999999999999</v>
      </c>
      <c r="X52" s="3" t="s">
        <v>147</v>
      </c>
      <c r="Y52" s="12">
        <f t="shared" si="2"/>
        <v>10.430999999999997</v>
      </c>
      <c r="AA52" t="b">
        <f t="shared" si="3"/>
        <v>1</v>
      </c>
      <c r="AB52" s="19" t="s">
        <v>948</v>
      </c>
      <c r="AC52" s="19" t="s">
        <v>146</v>
      </c>
      <c r="AD52" s="27">
        <v>702.55</v>
      </c>
      <c r="AE52" s="27"/>
      <c r="AF52" s="28">
        <v>128</v>
      </c>
      <c r="AG52" s="28">
        <v>2775</v>
      </c>
      <c r="AH52" s="27"/>
      <c r="AL52" s="3">
        <v>1551</v>
      </c>
      <c r="AM52" s="35">
        <v>702.55</v>
      </c>
      <c r="AN52" s="40">
        <f t="shared" ref="AN52:AN66" si="10">(AM52-122)/3</f>
        <v>193.51666666666665</v>
      </c>
      <c r="AO52" s="40">
        <f t="shared" ref="AO52:AO66" si="11">AN52*1.0425+1.2088</f>
        <v>202.94992499999998</v>
      </c>
      <c r="AP52" s="35"/>
      <c r="AQ52" s="3"/>
      <c r="AR52" s="3"/>
      <c r="AS52" s="4" t="s">
        <v>63</v>
      </c>
    </row>
    <row r="53" spans="1:45" x14ac:dyDescent="0.25">
      <c r="A53" s="4"/>
      <c r="B53" s="4"/>
      <c r="C53" s="4">
        <v>148</v>
      </c>
      <c r="D53" s="4" t="s">
        <v>148</v>
      </c>
      <c r="E53" s="5">
        <v>25.603000000000002</v>
      </c>
      <c r="F53" s="5">
        <v>27.651</v>
      </c>
      <c r="G53" s="13" t="s">
        <v>24</v>
      </c>
      <c r="H53" s="5" t="s">
        <v>24</v>
      </c>
      <c r="I53" s="4" t="s">
        <v>25</v>
      </c>
      <c r="J53" s="4"/>
      <c r="K53" s="4" t="s">
        <v>38</v>
      </c>
      <c r="L53" s="4">
        <v>4</v>
      </c>
      <c r="M53" s="4" t="str">
        <f t="shared" si="0"/>
        <v>G4</v>
      </c>
      <c r="N53" s="4" t="s">
        <v>27</v>
      </c>
      <c r="O53" s="4">
        <v>31</v>
      </c>
      <c r="P53">
        <v>52</v>
      </c>
      <c r="Q53" t="s">
        <v>28</v>
      </c>
      <c r="R53" t="b">
        <f t="shared" si="1"/>
        <v>1</v>
      </c>
      <c r="S53" s="4" t="s">
        <v>148</v>
      </c>
      <c r="T53" s="3">
        <v>1552</v>
      </c>
      <c r="U53" s="4" t="s">
        <v>25</v>
      </c>
      <c r="V53" s="5">
        <v>25.603000000000002</v>
      </c>
      <c r="W53" s="5">
        <v>27.651</v>
      </c>
      <c r="X53" s="3" t="s">
        <v>149</v>
      </c>
      <c r="Y53" s="12">
        <f t="shared" si="2"/>
        <v>-2.0479999999999983</v>
      </c>
      <c r="AA53" t="b">
        <f t="shared" si="3"/>
        <v>1</v>
      </c>
      <c r="AB53" s="19" t="s">
        <v>949</v>
      </c>
      <c r="AC53" s="19" t="s">
        <v>148</v>
      </c>
      <c r="AD53" s="27">
        <v>699.83</v>
      </c>
      <c r="AE53" s="27"/>
      <c r="AF53" s="28">
        <v>62</v>
      </c>
      <c r="AG53" s="28">
        <v>1528</v>
      </c>
      <c r="AH53" s="27"/>
      <c r="AL53" s="3">
        <v>1552</v>
      </c>
      <c r="AM53" s="35">
        <v>699.83</v>
      </c>
      <c r="AN53" s="40">
        <f t="shared" si="10"/>
        <v>192.61</v>
      </c>
      <c r="AO53" s="40">
        <f t="shared" si="11"/>
        <v>202.00472500000001</v>
      </c>
      <c r="AP53" s="35"/>
      <c r="AQ53" s="3"/>
      <c r="AR53" s="3"/>
      <c r="AS53" s="4" t="s">
        <v>25</v>
      </c>
    </row>
    <row r="54" spans="1:45" x14ac:dyDescent="0.25">
      <c r="A54" s="4"/>
      <c r="B54" s="4"/>
      <c r="C54" s="4">
        <v>196</v>
      </c>
      <c r="D54" s="4" t="s">
        <v>150</v>
      </c>
      <c r="E54" s="5">
        <v>26.411999999999999</v>
      </c>
      <c r="F54" s="5">
        <v>28.414999999999999</v>
      </c>
      <c r="G54" s="13" t="s">
        <v>24</v>
      </c>
      <c r="H54" s="5" t="s">
        <v>24</v>
      </c>
      <c r="I54" s="4" t="s">
        <v>25</v>
      </c>
      <c r="J54" s="4"/>
      <c r="K54" s="4" t="s">
        <v>41</v>
      </c>
      <c r="L54" s="4">
        <v>4</v>
      </c>
      <c r="M54" s="4" t="str">
        <f t="shared" si="0"/>
        <v>I4</v>
      </c>
      <c r="N54" s="4" t="s">
        <v>42</v>
      </c>
      <c r="O54" s="4">
        <v>121</v>
      </c>
      <c r="P54">
        <v>53</v>
      </c>
      <c r="Q54" t="s">
        <v>28</v>
      </c>
      <c r="R54" t="b">
        <f t="shared" si="1"/>
        <v>1</v>
      </c>
      <c r="S54" s="4" t="s">
        <v>150</v>
      </c>
      <c r="T54" s="3">
        <v>1553</v>
      </c>
      <c r="U54" s="4" t="s">
        <v>25</v>
      </c>
      <c r="V54" s="5">
        <v>26.411999999999999</v>
      </c>
      <c r="W54" s="5">
        <v>28.414999999999999</v>
      </c>
      <c r="X54" s="3" t="s">
        <v>151</v>
      </c>
      <c r="Y54" s="12">
        <f t="shared" si="2"/>
        <v>-2.0030000000000001</v>
      </c>
      <c r="AA54" t="b">
        <f t="shared" si="3"/>
        <v>1</v>
      </c>
      <c r="AB54" s="19" t="s">
        <v>950</v>
      </c>
      <c r="AC54" s="19" t="s">
        <v>150</v>
      </c>
      <c r="AD54" s="27">
        <v>702.69</v>
      </c>
      <c r="AE54" s="27"/>
      <c r="AF54" s="28">
        <v>59</v>
      </c>
      <c r="AG54" s="28">
        <v>1264</v>
      </c>
      <c r="AH54" s="27"/>
      <c r="AL54" s="3">
        <v>1553</v>
      </c>
      <c r="AM54" s="35">
        <v>702.69</v>
      </c>
      <c r="AN54" s="40">
        <f t="shared" si="10"/>
        <v>193.56333333333336</v>
      </c>
      <c r="AO54" s="40">
        <f t="shared" si="11"/>
        <v>202.99857500000002</v>
      </c>
      <c r="AP54" s="35"/>
      <c r="AQ54" s="3"/>
      <c r="AR54" s="3"/>
      <c r="AS54" s="4" t="s">
        <v>25</v>
      </c>
    </row>
    <row r="55" spans="1:45" x14ac:dyDescent="0.25">
      <c r="A55" s="4"/>
      <c r="B55" s="4"/>
      <c r="C55" s="4">
        <v>244</v>
      </c>
      <c r="D55" s="4" t="s">
        <v>152</v>
      </c>
      <c r="E55" s="5">
        <v>26.599</v>
      </c>
      <c r="F55" s="5">
        <v>28.824999999999999</v>
      </c>
      <c r="G55" s="13" t="s">
        <v>24</v>
      </c>
      <c r="H55" s="5" t="s">
        <v>24</v>
      </c>
      <c r="I55" s="4" t="s">
        <v>25</v>
      </c>
      <c r="J55" s="4"/>
      <c r="K55" s="4" t="s">
        <v>45</v>
      </c>
      <c r="L55" s="4">
        <v>4</v>
      </c>
      <c r="M55" s="4" t="str">
        <f t="shared" si="0"/>
        <v>K4</v>
      </c>
      <c r="N55" s="4" t="s">
        <v>42</v>
      </c>
      <c r="O55" s="4">
        <v>123</v>
      </c>
      <c r="P55">
        <v>54</v>
      </c>
      <c r="Q55" t="s">
        <v>28</v>
      </c>
      <c r="R55" t="b">
        <f t="shared" si="1"/>
        <v>1</v>
      </c>
      <c r="S55" s="4" t="s">
        <v>152</v>
      </c>
      <c r="T55" s="3">
        <v>1554</v>
      </c>
      <c r="U55" s="4" t="s">
        <v>25</v>
      </c>
      <c r="V55" s="5">
        <v>26.599</v>
      </c>
      <c r="W55" s="5">
        <v>28.824999999999999</v>
      </c>
      <c r="X55" s="3" t="s">
        <v>153</v>
      </c>
      <c r="Y55" s="12">
        <f t="shared" si="2"/>
        <v>-2.2259999999999991</v>
      </c>
      <c r="AA55" t="b">
        <f t="shared" si="3"/>
        <v>1</v>
      </c>
      <c r="AB55" s="19" t="s">
        <v>951</v>
      </c>
      <c r="AC55" s="19" t="s">
        <v>152</v>
      </c>
      <c r="AD55" s="3">
        <v>711.86</v>
      </c>
      <c r="AE55" s="3"/>
      <c r="AF55" s="3">
        <v>437</v>
      </c>
      <c r="AG55" s="28"/>
      <c r="AH55" s="3" t="s">
        <v>19</v>
      </c>
      <c r="AL55" s="3">
        <v>1554</v>
      </c>
      <c r="AM55" s="17">
        <v>711.86</v>
      </c>
      <c r="AN55" s="40">
        <f t="shared" si="10"/>
        <v>196.62</v>
      </c>
      <c r="AO55" s="40">
        <f t="shared" si="11"/>
        <v>206.18514999999999</v>
      </c>
      <c r="AP55" s="17"/>
      <c r="AQ55" s="3"/>
      <c r="AR55" s="3"/>
      <c r="AS55" s="4" t="s">
        <v>25</v>
      </c>
    </row>
    <row r="56" spans="1:45" x14ac:dyDescent="0.25">
      <c r="A56" s="4"/>
      <c r="B56" s="4"/>
      <c r="C56" s="4">
        <v>292</v>
      </c>
      <c r="D56" s="4" t="s">
        <v>154</v>
      </c>
      <c r="E56" s="5">
        <v>26.065999999999999</v>
      </c>
      <c r="F56" s="5">
        <v>28.146000000000001</v>
      </c>
      <c r="G56" s="13" t="s">
        <v>24</v>
      </c>
      <c r="H56" s="5" t="s">
        <v>24</v>
      </c>
      <c r="I56" s="4" t="s">
        <v>25</v>
      </c>
      <c r="J56" s="4"/>
      <c r="K56" s="4" t="s">
        <v>48</v>
      </c>
      <c r="L56" s="4">
        <v>4</v>
      </c>
      <c r="M56" s="4" t="str">
        <f t="shared" si="0"/>
        <v>M4</v>
      </c>
      <c r="N56" s="4" t="s">
        <v>42</v>
      </c>
      <c r="O56" s="4">
        <v>125</v>
      </c>
      <c r="P56">
        <v>55</v>
      </c>
      <c r="Q56" t="s">
        <v>28</v>
      </c>
      <c r="R56" t="b">
        <f t="shared" si="1"/>
        <v>1</v>
      </c>
      <c r="S56" s="4" t="s">
        <v>154</v>
      </c>
      <c r="T56" s="3">
        <v>1555</v>
      </c>
      <c r="U56" s="4" t="s">
        <v>25</v>
      </c>
      <c r="V56" s="5">
        <v>26.065999999999999</v>
      </c>
      <c r="W56" s="5">
        <v>28.146000000000001</v>
      </c>
      <c r="X56" s="3" t="s">
        <v>155</v>
      </c>
      <c r="Y56" s="12">
        <f t="shared" si="2"/>
        <v>-2.0800000000000018</v>
      </c>
      <c r="AA56" t="b">
        <f t="shared" si="3"/>
        <v>1</v>
      </c>
      <c r="AB56" s="19" t="s">
        <v>952</v>
      </c>
      <c r="AC56" s="19" t="s">
        <v>154</v>
      </c>
      <c r="AD56" s="3">
        <v>694.82</v>
      </c>
      <c r="AE56" s="3"/>
      <c r="AF56" s="3">
        <v>555</v>
      </c>
      <c r="AG56" s="28"/>
      <c r="AH56" s="3" t="s">
        <v>19</v>
      </c>
      <c r="AL56" s="3">
        <v>1555</v>
      </c>
      <c r="AM56" s="17">
        <v>694.82</v>
      </c>
      <c r="AN56" s="40">
        <f t="shared" si="10"/>
        <v>190.94000000000003</v>
      </c>
      <c r="AO56" s="40">
        <f t="shared" si="11"/>
        <v>200.26375000000002</v>
      </c>
      <c r="AP56" s="17"/>
      <c r="AQ56" s="3"/>
      <c r="AR56" s="3"/>
      <c r="AS56" s="4" t="s">
        <v>25</v>
      </c>
    </row>
    <row r="57" spans="1:45" x14ac:dyDescent="0.25">
      <c r="A57" s="4"/>
      <c r="B57" s="4"/>
      <c r="C57" s="4">
        <v>340</v>
      </c>
      <c r="D57" s="4" t="s">
        <v>156</v>
      </c>
      <c r="E57" s="5">
        <v>24.972999999999999</v>
      </c>
      <c r="F57" s="5">
        <v>27.010999999999999</v>
      </c>
      <c r="G57" s="13" t="s">
        <v>24</v>
      </c>
      <c r="H57" s="5" t="s">
        <v>24</v>
      </c>
      <c r="I57" s="4" t="s">
        <v>25</v>
      </c>
      <c r="J57" s="4"/>
      <c r="K57" s="4" t="s">
        <v>51</v>
      </c>
      <c r="L57" s="4">
        <v>4</v>
      </c>
      <c r="M57" s="4" t="str">
        <f t="shared" si="0"/>
        <v>O4</v>
      </c>
      <c r="N57" s="4" t="s">
        <v>42</v>
      </c>
      <c r="O57" s="4">
        <v>127</v>
      </c>
      <c r="P57">
        <v>56</v>
      </c>
      <c r="Q57" t="s">
        <v>28</v>
      </c>
      <c r="R57" t="b">
        <f t="shared" si="1"/>
        <v>1</v>
      </c>
      <c r="S57" s="4" t="s">
        <v>156</v>
      </c>
      <c r="T57" s="3">
        <v>1556</v>
      </c>
      <c r="U57" s="4" t="s">
        <v>25</v>
      </c>
      <c r="V57" s="5">
        <v>24.972999999999999</v>
      </c>
      <c r="W57" s="5">
        <v>27.010999999999999</v>
      </c>
      <c r="X57" s="3" t="s">
        <v>157</v>
      </c>
      <c r="Y57" s="12">
        <f t="shared" si="2"/>
        <v>-2.0380000000000003</v>
      </c>
      <c r="AA57" t="b">
        <f t="shared" si="3"/>
        <v>1</v>
      </c>
      <c r="AB57" s="19" t="s">
        <v>953</v>
      </c>
      <c r="AC57" s="19" t="s">
        <v>156</v>
      </c>
      <c r="AD57" s="27">
        <v>704.84</v>
      </c>
      <c r="AE57" s="27"/>
      <c r="AF57" s="28">
        <v>72</v>
      </c>
      <c r="AG57" s="28">
        <v>1671</v>
      </c>
      <c r="AH57" s="27"/>
      <c r="AL57" s="3">
        <v>1556</v>
      </c>
      <c r="AM57" s="35">
        <v>704.84</v>
      </c>
      <c r="AN57" s="40">
        <f t="shared" si="10"/>
        <v>194.28</v>
      </c>
      <c r="AO57" s="40">
        <f t="shared" si="11"/>
        <v>203.7457</v>
      </c>
      <c r="AP57" s="35"/>
      <c r="AQ57" s="3"/>
      <c r="AR57" s="3"/>
      <c r="AS57" s="4" t="s">
        <v>25</v>
      </c>
    </row>
    <row r="58" spans="1:45" x14ac:dyDescent="0.25">
      <c r="A58" s="4"/>
      <c r="B58" s="4"/>
      <c r="C58" s="4">
        <v>28</v>
      </c>
      <c r="D58" s="4" t="s">
        <v>158</v>
      </c>
      <c r="E58" s="5">
        <v>24.861999999999998</v>
      </c>
      <c r="F58" s="5">
        <v>26.779</v>
      </c>
      <c r="G58" s="13" t="s">
        <v>24</v>
      </c>
      <c r="H58" s="5" t="s">
        <v>24</v>
      </c>
      <c r="I58" s="4" t="s">
        <v>25</v>
      </c>
      <c r="J58" s="4"/>
      <c r="K58" s="4" t="s">
        <v>54</v>
      </c>
      <c r="L58" s="4">
        <v>4</v>
      </c>
      <c r="M58" s="4" t="str">
        <f t="shared" si="0"/>
        <v>B4</v>
      </c>
      <c r="N58" s="4" t="s">
        <v>27</v>
      </c>
      <c r="O58" s="4">
        <v>26</v>
      </c>
      <c r="P58">
        <v>57</v>
      </c>
      <c r="Q58" t="s">
        <v>28</v>
      </c>
      <c r="R58" t="b">
        <f t="shared" si="1"/>
        <v>1</v>
      </c>
      <c r="S58" s="4" t="s">
        <v>158</v>
      </c>
      <c r="T58" s="3">
        <v>1557</v>
      </c>
      <c r="U58" s="4" t="s">
        <v>25</v>
      </c>
      <c r="V58" s="5">
        <v>24.861999999999998</v>
      </c>
      <c r="W58" s="5">
        <v>26.779</v>
      </c>
      <c r="X58" s="3" t="s">
        <v>159</v>
      </c>
      <c r="Y58" s="12">
        <f t="shared" si="2"/>
        <v>-1.9170000000000016</v>
      </c>
      <c r="AA58" t="b">
        <f t="shared" si="3"/>
        <v>1</v>
      </c>
      <c r="AB58" s="19" t="s">
        <v>954</v>
      </c>
      <c r="AC58" s="19" t="s">
        <v>158</v>
      </c>
      <c r="AD58" s="27">
        <v>699.72</v>
      </c>
      <c r="AE58" s="27"/>
      <c r="AF58" s="28">
        <v>82</v>
      </c>
      <c r="AG58" s="28">
        <v>1693</v>
      </c>
      <c r="AH58" s="27"/>
      <c r="AL58" s="3">
        <v>1557</v>
      </c>
      <c r="AM58" s="35">
        <v>699.72</v>
      </c>
      <c r="AN58" s="40">
        <f t="shared" si="10"/>
        <v>192.57333333333335</v>
      </c>
      <c r="AO58" s="40">
        <f t="shared" si="11"/>
        <v>201.96650000000002</v>
      </c>
      <c r="AP58" s="35"/>
      <c r="AQ58" s="3"/>
      <c r="AR58" s="3"/>
      <c r="AS58" s="4" t="s">
        <v>25</v>
      </c>
    </row>
    <row r="59" spans="1:45" x14ac:dyDescent="0.25">
      <c r="A59" s="4"/>
      <c r="B59" s="4"/>
      <c r="C59" s="4">
        <v>76</v>
      </c>
      <c r="D59" s="4" t="s">
        <v>160</v>
      </c>
      <c r="E59" s="5">
        <v>25.507999999999999</v>
      </c>
      <c r="F59" s="5">
        <v>27.468</v>
      </c>
      <c r="G59" s="13" t="s">
        <v>24</v>
      </c>
      <c r="H59" s="5" t="s">
        <v>24</v>
      </c>
      <c r="I59" s="4" t="s">
        <v>25</v>
      </c>
      <c r="J59" s="4"/>
      <c r="K59" s="4" t="s">
        <v>57</v>
      </c>
      <c r="L59" s="4">
        <v>4</v>
      </c>
      <c r="M59" s="4" t="str">
        <f t="shared" si="0"/>
        <v>D4</v>
      </c>
      <c r="N59" s="4" t="s">
        <v>27</v>
      </c>
      <c r="O59" s="4">
        <v>28</v>
      </c>
      <c r="P59">
        <v>58</v>
      </c>
      <c r="Q59" t="s">
        <v>28</v>
      </c>
      <c r="R59" t="b">
        <f t="shared" si="1"/>
        <v>1</v>
      </c>
      <c r="S59" s="4" t="s">
        <v>160</v>
      </c>
      <c r="T59" s="3">
        <v>1558</v>
      </c>
      <c r="U59" s="4" t="s">
        <v>25</v>
      </c>
      <c r="V59" s="5">
        <v>25.507999999999999</v>
      </c>
      <c r="W59" s="5">
        <v>27.468</v>
      </c>
      <c r="X59" s="3" t="s">
        <v>161</v>
      </c>
      <c r="Y59" s="12">
        <f t="shared" si="2"/>
        <v>-1.9600000000000009</v>
      </c>
      <c r="AA59" t="b">
        <f t="shared" si="3"/>
        <v>1</v>
      </c>
      <c r="AB59" s="19" t="s">
        <v>955</v>
      </c>
      <c r="AC59" s="19" t="s">
        <v>160</v>
      </c>
      <c r="AD59" s="27">
        <v>702.66</v>
      </c>
      <c r="AE59" s="27"/>
      <c r="AF59" s="28">
        <v>72</v>
      </c>
      <c r="AG59" s="28">
        <v>1666</v>
      </c>
      <c r="AH59" s="27"/>
      <c r="AL59" s="3">
        <v>1558</v>
      </c>
      <c r="AM59" s="35">
        <v>702.66</v>
      </c>
      <c r="AN59" s="40">
        <f t="shared" si="10"/>
        <v>193.55333333333331</v>
      </c>
      <c r="AO59" s="40">
        <f t="shared" si="11"/>
        <v>202.98814999999996</v>
      </c>
      <c r="AP59" s="35"/>
      <c r="AQ59" s="3"/>
      <c r="AR59" s="3"/>
      <c r="AS59" s="4" t="s">
        <v>25</v>
      </c>
    </row>
    <row r="60" spans="1:45" x14ac:dyDescent="0.25">
      <c r="A60" s="4"/>
      <c r="B60" s="4"/>
      <c r="C60" s="4">
        <v>124</v>
      </c>
      <c r="D60" s="4" t="s">
        <v>162</v>
      </c>
      <c r="E60" s="5">
        <v>25.766999999999999</v>
      </c>
      <c r="F60" s="5">
        <v>27.716999999999999</v>
      </c>
      <c r="G60" s="13" t="s">
        <v>24</v>
      </c>
      <c r="H60" s="5" t="s">
        <v>24</v>
      </c>
      <c r="I60" s="4" t="s">
        <v>25</v>
      </c>
      <c r="J60" s="4"/>
      <c r="K60" s="4" t="s">
        <v>60</v>
      </c>
      <c r="L60" s="4">
        <v>4</v>
      </c>
      <c r="M60" s="4" t="str">
        <f t="shared" si="0"/>
        <v>F4</v>
      </c>
      <c r="N60" s="4" t="s">
        <v>27</v>
      </c>
      <c r="O60" s="4">
        <v>30</v>
      </c>
      <c r="P60">
        <v>59</v>
      </c>
      <c r="Q60" t="s">
        <v>28</v>
      </c>
      <c r="R60" t="b">
        <f t="shared" si="1"/>
        <v>1</v>
      </c>
      <c r="S60" s="4" t="s">
        <v>162</v>
      </c>
      <c r="T60" s="3">
        <v>1559</v>
      </c>
      <c r="U60" s="4" t="s">
        <v>25</v>
      </c>
      <c r="V60" s="5">
        <v>25.766999999999999</v>
      </c>
      <c r="W60" s="5">
        <v>27.716999999999999</v>
      </c>
      <c r="X60" s="3" t="s">
        <v>163</v>
      </c>
      <c r="Y60" s="12">
        <f t="shared" si="2"/>
        <v>-1.9499999999999993</v>
      </c>
      <c r="AA60" t="b">
        <f t="shared" si="3"/>
        <v>1</v>
      </c>
      <c r="AB60" s="19" t="s">
        <v>956</v>
      </c>
      <c r="AC60" s="19" t="s">
        <v>162</v>
      </c>
      <c r="AD60" s="27">
        <v>685.17</v>
      </c>
      <c r="AE60" s="27"/>
      <c r="AF60" s="28">
        <v>84</v>
      </c>
      <c r="AG60" s="28">
        <v>1798</v>
      </c>
      <c r="AH60" s="27"/>
      <c r="AL60" s="3">
        <v>1559</v>
      </c>
      <c r="AM60" s="35">
        <v>685.17</v>
      </c>
      <c r="AN60" s="40">
        <f t="shared" si="10"/>
        <v>187.72333333333333</v>
      </c>
      <c r="AO60" s="40">
        <f t="shared" si="11"/>
        <v>196.91037499999999</v>
      </c>
      <c r="AP60" s="35"/>
      <c r="AQ60" s="3"/>
      <c r="AR60" s="3"/>
      <c r="AS60" s="4" t="s">
        <v>25</v>
      </c>
    </row>
    <row r="61" spans="1:45" x14ac:dyDescent="0.25">
      <c r="A61" s="4"/>
      <c r="B61" s="4"/>
      <c r="C61" s="4">
        <v>172</v>
      </c>
      <c r="D61" s="4" t="s">
        <v>164</v>
      </c>
      <c r="E61" s="5" t="s">
        <v>31</v>
      </c>
      <c r="F61" s="5">
        <v>26.716999999999999</v>
      </c>
      <c r="G61" s="13" t="s">
        <v>31</v>
      </c>
      <c r="H61" s="5" t="s">
        <v>24</v>
      </c>
      <c r="I61" s="4" t="s">
        <v>63</v>
      </c>
      <c r="J61" s="4"/>
      <c r="K61" s="4" t="s">
        <v>64</v>
      </c>
      <c r="L61" s="4">
        <v>4</v>
      </c>
      <c r="M61" s="4" t="str">
        <f t="shared" si="0"/>
        <v>H4</v>
      </c>
      <c r="N61" s="4" t="s">
        <v>27</v>
      </c>
      <c r="O61" s="4">
        <v>32</v>
      </c>
      <c r="P61">
        <v>60</v>
      </c>
      <c r="Q61" t="s">
        <v>28</v>
      </c>
      <c r="R61" t="b">
        <f t="shared" si="1"/>
        <v>1</v>
      </c>
      <c r="S61" s="4" t="s">
        <v>164</v>
      </c>
      <c r="T61" s="3">
        <v>1560</v>
      </c>
      <c r="U61" s="4" t="s">
        <v>63</v>
      </c>
      <c r="V61" s="5" t="s">
        <v>31</v>
      </c>
      <c r="W61" s="5">
        <v>26.716999999999999</v>
      </c>
      <c r="X61" s="3" t="s">
        <v>165</v>
      </c>
      <c r="Y61" s="12" t="e">
        <f t="shared" si="2"/>
        <v>#VALUE!</v>
      </c>
      <c r="AA61" t="b">
        <f t="shared" si="3"/>
        <v>1</v>
      </c>
      <c r="AB61" s="19" t="s">
        <v>957</v>
      </c>
      <c r="AC61" s="19" t="s">
        <v>164</v>
      </c>
      <c r="AD61" s="27">
        <v>719.48</v>
      </c>
      <c r="AE61" s="27"/>
      <c r="AF61" s="28">
        <v>85</v>
      </c>
      <c r="AG61" s="28">
        <v>1690</v>
      </c>
      <c r="AH61" s="27"/>
      <c r="AL61" s="3">
        <v>1560</v>
      </c>
      <c r="AM61" s="35">
        <v>719.48</v>
      </c>
      <c r="AN61" s="40">
        <f t="shared" si="10"/>
        <v>199.16</v>
      </c>
      <c r="AO61" s="40">
        <f t="shared" si="11"/>
        <v>208.8331</v>
      </c>
      <c r="AP61" s="35"/>
      <c r="AQ61" s="3"/>
      <c r="AR61" s="3"/>
      <c r="AS61" s="4" t="s">
        <v>63</v>
      </c>
    </row>
    <row r="62" spans="1:45" x14ac:dyDescent="0.25">
      <c r="A62" s="4"/>
      <c r="B62" s="4"/>
      <c r="C62" s="4">
        <v>220</v>
      </c>
      <c r="D62" s="4" t="s">
        <v>166</v>
      </c>
      <c r="E62" s="5">
        <v>25.710999999999999</v>
      </c>
      <c r="F62" s="5">
        <v>27.77</v>
      </c>
      <c r="G62" s="13" t="s">
        <v>24</v>
      </c>
      <c r="H62" s="5" t="s">
        <v>24</v>
      </c>
      <c r="I62" s="4" t="s">
        <v>25</v>
      </c>
      <c r="J62" s="4"/>
      <c r="K62" s="4" t="s">
        <v>67</v>
      </c>
      <c r="L62" s="4">
        <v>4</v>
      </c>
      <c r="M62" s="4" t="str">
        <f t="shared" si="0"/>
        <v>J4</v>
      </c>
      <c r="N62" s="4" t="s">
        <v>42</v>
      </c>
      <c r="O62" s="4">
        <v>122</v>
      </c>
      <c r="P62">
        <v>61</v>
      </c>
      <c r="Q62" t="s">
        <v>28</v>
      </c>
      <c r="R62" t="b">
        <f t="shared" si="1"/>
        <v>1</v>
      </c>
      <c r="S62" s="4" t="s">
        <v>166</v>
      </c>
      <c r="T62" s="3">
        <v>1561</v>
      </c>
      <c r="U62" s="4" t="s">
        <v>25</v>
      </c>
      <c r="V62" s="5">
        <v>25.710999999999999</v>
      </c>
      <c r="W62" s="5">
        <v>27.77</v>
      </c>
      <c r="X62" s="3" t="s">
        <v>167</v>
      </c>
      <c r="Y62" s="12">
        <f t="shared" si="2"/>
        <v>-2.0590000000000011</v>
      </c>
      <c r="AA62" t="b">
        <f t="shared" si="3"/>
        <v>1</v>
      </c>
      <c r="AB62" s="19" t="s">
        <v>958</v>
      </c>
      <c r="AC62" s="19" t="s">
        <v>166</v>
      </c>
      <c r="AD62" s="3">
        <v>711.65</v>
      </c>
      <c r="AE62" s="3"/>
      <c r="AF62" s="3">
        <v>407</v>
      </c>
      <c r="AG62" s="28"/>
      <c r="AH62" s="3" t="s">
        <v>19</v>
      </c>
      <c r="AL62" s="3">
        <v>1561</v>
      </c>
      <c r="AM62" s="17">
        <v>711.65</v>
      </c>
      <c r="AN62" s="40">
        <f t="shared" si="10"/>
        <v>196.54999999999998</v>
      </c>
      <c r="AO62" s="40">
        <f t="shared" si="11"/>
        <v>206.11217499999998</v>
      </c>
      <c r="AP62" s="17"/>
      <c r="AQ62" s="3"/>
      <c r="AR62" s="3"/>
      <c r="AS62" s="4" t="s">
        <v>25</v>
      </c>
    </row>
    <row r="63" spans="1:45" x14ac:dyDescent="0.25">
      <c r="A63" s="4"/>
      <c r="B63" s="4"/>
      <c r="C63" s="4">
        <v>268</v>
      </c>
      <c r="D63" s="4" t="s">
        <v>168</v>
      </c>
      <c r="E63" s="5">
        <v>25.097000000000001</v>
      </c>
      <c r="F63" s="5">
        <v>27.209</v>
      </c>
      <c r="G63" s="13" t="s">
        <v>24</v>
      </c>
      <c r="H63" s="5" t="s">
        <v>24</v>
      </c>
      <c r="I63" s="4" t="s">
        <v>25</v>
      </c>
      <c r="J63" s="4"/>
      <c r="K63" s="4" t="s">
        <v>70</v>
      </c>
      <c r="L63" s="4">
        <v>4</v>
      </c>
      <c r="M63" s="4" t="str">
        <f t="shared" si="0"/>
        <v>L4</v>
      </c>
      <c r="N63" s="4" t="s">
        <v>42</v>
      </c>
      <c r="O63" s="4">
        <v>124</v>
      </c>
      <c r="P63">
        <v>62</v>
      </c>
      <c r="Q63" t="s">
        <v>28</v>
      </c>
      <c r="R63" t="b">
        <f t="shared" si="1"/>
        <v>1</v>
      </c>
      <c r="S63" s="4" t="s">
        <v>168</v>
      </c>
      <c r="T63" s="3">
        <v>1562</v>
      </c>
      <c r="U63" s="4" t="s">
        <v>25</v>
      </c>
      <c r="V63" s="5">
        <v>25.097000000000001</v>
      </c>
      <c r="W63" s="5">
        <v>27.209</v>
      </c>
      <c r="X63" s="3" t="s">
        <v>169</v>
      </c>
      <c r="Y63" s="12">
        <f t="shared" si="2"/>
        <v>-2.1119999999999983</v>
      </c>
      <c r="AA63" t="b">
        <f t="shared" si="3"/>
        <v>1</v>
      </c>
      <c r="AB63" s="19" t="s">
        <v>959</v>
      </c>
      <c r="AC63" s="19" t="s">
        <v>168</v>
      </c>
      <c r="AD63" s="27">
        <v>699.88</v>
      </c>
      <c r="AE63" s="27"/>
      <c r="AF63" s="28">
        <v>70</v>
      </c>
      <c r="AG63" s="28">
        <v>1590</v>
      </c>
      <c r="AH63" s="27"/>
      <c r="AL63" s="3">
        <v>1562</v>
      </c>
      <c r="AM63" s="35">
        <v>699.88</v>
      </c>
      <c r="AN63" s="40">
        <f t="shared" si="10"/>
        <v>192.62666666666667</v>
      </c>
      <c r="AO63" s="40">
        <f t="shared" si="11"/>
        <v>202.02209999999999</v>
      </c>
      <c r="AP63" s="35"/>
      <c r="AQ63" s="3"/>
      <c r="AR63" s="3"/>
      <c r="AS63" s="4" t="s">
        <v>25</v>
      </c>
    </row>
    <row r="64" spans="1:45" x14ac:dyDescent="0.25">
      <c r="A64" s="4"/>
      <c r="B64" s="4"/>
      <c r="C64" s="4">
        <v>316</v>
      </c>
      <c r="D64" s="4" t="s">
        <v>170</v>
      </c>
      <c r="E64" s="5">
        <v>24.981000000000002</v>
      </c>
      <c r="F64" s="5">
        <v>27.071999999999999</v>
      </c>
      <c r="G64" s="13" t="s">
        <v>24</v>
      </c>
      <c r="H64" s="5" t="s">
        <v>24</v>
      </c>
      <c r="I64" s="4" t="s">
        <v>25</v>
      </c>
      <c r="J64" s="4"/>
      <c r="K64" s="4" t="s">
        <v>73</v>
      </c>
      <c r="L64" s="4">
        <v>4</v>
      </c>
      <c r="M64" s="4" t="str">
        <f t="shared" si="0"/>
        <v>N4</v>
      </c>
      <c r="N64" s="4" t="s">
        <v>42</v>
      </c>
      <c r="O64" s="4">
        <v>126</v>
      </c>
      <c r="P64">
        <v>63</v>
      </c>
      <c r="Q64" t="s">
        <v>28</v>
      </c>
      <c r="R64" t="b">
        <f t="shared" si="1"/>
        <v>1</v>
      </c>
      <c r="S64" s="4" t="s">
        <v>170</v>
      </c>
      <c r="T64" s="3">
        <v>1563</v>
      </c>
      <c r="U64" s="4" t="s">
        <v>25</v>
      </c>
      <c r="V64" s="5">
        <v>24.981000000000002</v>
      </c>
      <c r="W64" s="5">
        <v>27.071999999999999</v>
      </c>
      <c r="X64" s="3" t="s">
        <v>171</v>
      </c>
      <c r="Y64" s="12">
        <f t="shared" si="2"/>
        <v>-2.0909999999999975</v>
      </c>
      <c r="AA64" t="b">
        <f t="shared" si="3"/>
        <v>1</v>
      </c>
      <c r="AB64" s="19" t="s">
        <v>960</v>
      </c>
      <c r="AC64" s="19" t="s">
        <v>170</v>
      </c>
      <c r="AD64" s="27">
        <v>705.41</v>
      </c>
      <c r="AE64" s="27"/>
      <c r="AF64" s="28">
        <v>55</v>
      </c>
      <c r="AG64" s="28">
        <v>1277</v>
      </c>
      <c r="AH64" s="27"/>
      <c r="AL64" s="3">
        <v>1563</v>
      </c>
      <c r="AM64" s="35">
        <v>705.41</v>
      </c>
      <c r="AN64" s="40">
        <f t="shared" si="10"/>
        <v>194.47</v>
      </c>
      <c r="AO64" s="40">
        <f t="shared" si="11"/>
        <v>203.94377499999999</v>
      </c>
      <c r="AP64" s="35"/>
      <c r="AQ64" s="3"/>
      <c r="AR64" s="3"/>
      <c r="AS64" s="4" t="s">
        <v>25</v>
      </c>
    </row>
    <row r="65" spans="1:45" x14ac:dyDescent="0.25">
      <c r="A65" s="4"/>
      <c r="B65" s="4"/>
      <c r="C65" s="4">
        <v>364</v>
      </c>
      <c r="D65" s="4" t="s">
        <v>172</v>
      </c>
      <c r="E65" s="5">
        <v>39.094000000000001</v>
      </c>
      <c r="F65" s="5">
        <v>26.015999999999998</v>
      </c>
      <c r="G65" s="13" t="s">
        <v>19</v>
      </c>
      <c r="H65" s="5" t="s">
        <v>24</v>
      </c>
      <c r="I65" s="4" t="s">
        <v>63</v>
      </c>
      <c r="J65" s="4"/>
      <c r="K65" s="4" t="s">
        <v>76</v>
      </c>
      <c r="L65" s="4">
        <v>4</v>
      </c>
      <c r="M65" s="4" t="str">
        <f t="shared" si="0"/>
        <v>P4</v>
      </c>
      <c r="N65" s="4" t="s">
        <v>42</v>
      </c>
      <c r="O65" s="4">
        <v>128</v>
      </c>
      <c r="P65">
        <v>64</v>
      </c>
      <c r="Q65" t="s">
        <v>28</v>
      </c>
      <c r="R65" t="b">
        <f t="shared" si="1"/>
        <v>1</v>
      </c>
      <c r="S65" s="4" t="s">
        <v>172</v>
      </c>
      <c r="T65" s="3">
        <v>1564</v>
      </c>
      <c r="U65" s="4" t="s">
        <v>63</v>
      </c>
      <c r="V65" s="5">
        <v>39.094000000000001</v>
      </c>
      <c r="W65" s="5">
        <v>26.015999999999998</v>
      </c>
      <c r="X65" s="3" t="s">
        <v>173</v>
      </c>
      <c r="Y65" s="12">
        <f t="shared" si="2"/>
        <v>13.078000000000003</v>
      </c>
      <c r="AA65" t="b">
        <f t="shared" si="3"/>
        <v>1</v>
      </c>
      <c r="AB65" s="19" t="s">
        <v>961</v>
      </c>
      <c r="AC65" s="19" t="s">
        <v>172</v>
      </c>
      <c r="AD65" s="27">
        <v>687.63</v>
      </c>
      <c r="AE65" s="27"/>
      <c r="AF65" s="28">
        <v>93</v>
      </c>
      <c r="AG65" s="28">
        <v>2186</v>
      </c>
      <c r="AH65" s="27"/>
      <c r="AL65" s="3">
        <v>1564</v>
      </c>
      <c r="AM65" s="35">
        <v>687.63</v>
      </c>
      <c r="AN65" s="40">
        <f t="shared" si="10"/>
        <v>188.54333333333332</v>
      </c>
      <c r="AO65" s="40">
        <f t="shared" si="11"/>
        <v>197.76522499999999</v>
      </c>
      <c r="AP65" s="35"/>
      <c r="AQ65" s="3"/>
      <c r="AR65" s="3"/>
      <c r="AS65" s="4" t="s">
        <v>63</v>
      </c>
    </row>
    <row r="66" spans="1:45" x14ac:dyDescent="0.25">
      <c r="A66" s="4"/>
      <c r="B66" s="4"/>
      <c r="C66" s="4">
        <v>5</v>
      </c>
      <c r="D66" s="4" t="s">
        <v>174</v>
      </c>
      <c r="E66" s="5">
        <v>24.873000000000001</v>
      </c>
      <c r="F66" s="5">
        <v>26.695</v>
      </c>
      <c r="G66" s="13" t="s">
        <v>24</v>
      </c>
      <c r="H66" s="5" t="s">
        <v>24</v>
      </c>
      <c r="I66" s="4" t="s">
        <v>25</v>
      </c>
      <c r="J66" s="4"/>
      <c r="K66" s="4" t="s">
        <v>26</v>
      </c>
      <c r="L66" s="4">
        <v>5</v>
      </c>
      <c r="M66" s="4" t="str">
        <f t="shared" ref="M66:M129" si="12">CONCATENATE(K66,L66)</f>
        <v>A5</v>
      </c>
      <c r="N66" s="4" t="s">
        <v>27</v>
      </c>
      <c r="O66" s="4">
        <v>33</v>
      </c>
      <c r="P66">
        <v>65</v>
      </c>
      <c r="Q66" t="s">
        <v>28</v>
      </c>
      <c r="R66" t="b">
        <f t="shared" ref="R66:R129" si="13">D66=S66</f>
        <v>1</v>
      </c>
      <c r="S66" s="4" t="s">
        <v>174</v>
      </c>
      <c r="T66" s="3">
        <v>1565</v>
      </c>
      <c r="U66" s="4" t="s">
        <v>25</v>
      </c>
      <c r="V66" s="5">
        <v>24.873000000000001</v>
      </c>
      <c r="W66" s="5">
        <v>26.695</v>
      </c>
      <c r="X66" s="3" t="s">
        <v>175</v>
      </c>
      <c r="Y66" s="12">
        <f t="shared" ref="Y66:Y129" si="14">V66-W66</f>
        <v>-1.8219999999999992</v>
      </c>
      <c r="AA66" t="b">
        <f t="shared" ref="AA66:AA129" si="15">S66=AC66</f>
        <v>1</v>
      </c>
      <c r="AB66" s="19" t="s">
        <v>962</v>
      </c>
      <c r="AC66" s="19" t="s">
        <v>174</v>
      </c>
      <c r="AD66" s="27">
        <v>690.84</v>
      </c>
      <c r="AE66" s="27"/>
      <c r="AF66" s="28">
        <v>73</v>
      </c>
      <c r="AG66" s="28">
        <v>1605</v>
      </c>
      <c r="AH66" s="27"/>
      <c r="AL66" s="3">
        <v>1565</v>
      </c>
      <c r="AM66" s="35">
        <v>690.84</v>
      </c>
      <c r="AN66" s="40">
        <f t="shared" si="10"/>
        <v>189.61333333333334</v>
      </c>
      <c r="AO66" s="40">
        <f t="shared" si="11"/>
        <v>198.88069999999999</v>
      </c>
      <c r="AP66" s="35"/>
      <c r="AQ66" s="3"/>
      <c r="AR66" s="3"/>
      <c r="AS66" s="4" t="s">
        <v>25</v>
      </c>
    </row>
    <row r="67" spans="1:45" x14ac:dyDescent="0.25">
      <c r="A67" s="4"/>
      <c r="B67" s="4"/>
      <c r="C67" s="4">
        <v>53</v>
      </c>
      <c r="D67" s="4" t="s">
        <v>176</v>
      </c>
      <c r="E67" s="5">
        <v>24.006</v>
      </c>
      <c r="F67" s="5" t="s">
        <v>31</v>
      </c>
      <c r="G67" s="13" t="s">
        <v>24</v>
      </c>
      <c r="H67" s="5" t="s">
        <v>31</v>
      </c>
      <c r="I67" s="4" t="s">
        <v>31</v>
      </c>
      <c r="J67" s="4"/>
      <c r="K67" s="4" t="s">
        <v>32</v>
      </c>
      <c r="L67" s="4">
        <v>5</v>
      </c>
      <c r="M67" s="4" t="str">
        <f t="shared" si="12"/>
        <v>C5</v>
      </c>
      <c r="N67" s="4" t="s">
        <v>27</v>
      </c>
      <c r="O67" s="4">
        <v>35</v>
      </c>
      <c r="P67">
        <v>66</v>
      </c>
      <c r="Q67" t="s">
        <v>28</v>
      </c>
      <c r="R67" t="b">
        <f t="shared" si="13"/>
        <v>1</v>
      </c>
      <c r="S67" s="4" t="s">
        <v>176</v>
      </c>
      <c r="T67" s="3">
        <v>1566</v>
      </c>
      <c r="U67" s="4" t="s">
        <v>31</v>
      </c>
      <c r="V67" s="5">
        <v>24.006</v>
      </c>
      <c r="W67" s="5" t="s">
        <v>31</v>
      </c>
      <c r="X67" s="3" t="s">
        <v>177</v>
      </c>
      <c r="Y67" s="12" t="e">
        <f t="shared" si="14"/>
        <v>#VALUE!</v>
      </c>
      <c r="AA67" t="b">
        <f t="shared" si="15"/>
        <v>1</v>
      </c>
      <c r="AB67" s="19" t="s">
        <v>963</v>
      </c>
      <c r="AC67" s="19" t="s">
        <v>176</v>
      </c>
      <c r="AD67" s="27"/>
      <c r="AE67" s="27"/>
      <c r="AF67" s="28"/>
      <c r="AG67" s="28"/>
      <c r="AH67" s="27"/>
      <c r="AL67" s="3">
        <v>1566</v>
      </c>
      <c r="AM67" s="35"/>
      <c r="AN67" s="17"/>
      <c r="AO67" s="17"/>
      <c r="AP67" s="35"/>
      <c r="AQ67" s="3"/>
      <c r="AR67" s="3"/>
      <c r="AS67" s="4" t="s">
        <v>31</v>
      </c>
    </row>
    <row r="68" spans="1:45" x14ac:dyDescent="0.25">
      <c r="A68" s="4"/>
      <c r="B68" s="4"/>
      <c r="C68" s="4">
        <v>101</v>
      </c>
      <c r="D68" s="4" t="s">
        <v>178</v>
      </c>
      <c r="E68" s="5">
        <v>25.263999999999999</v>
      </c>
      <c r="F68" s="5">
        <v>27.027000000000001</v>
      </c>
      <c r="G68" s="13" t="s">
        <v>24</v>
      </c>
      <c r="H68" s="5" t="s">
        <v>24</v>
      </c>
      <c r="I68" s="4" t="s">
        <v>25</v>
      </c>
      <c r="J68" s="4"/>
      <c r="K68" s="4" t="s">
        <v>35</v>
      </c>
      <c r="L68" s="4">
        <v>5</v>
      </c>
      <c r="M68" s="4" t="str">
        <f t="shared" si="12"/>
        <v>E5</v>
      </c>
      <c r="N68" s="4" t="s">
        <v>27</v>
      </c>
      <c r="O68" s="4">
        <v>37</v>
      </c>
      <c r="P68">
        <v>67</v>
      </c>
      <c r="Q68" t="s">
        <v>28</v>
      </c>
      <c r="R68" t="b">
        <f t="shared" si="13"/>
        <v>1</v>
      </c>
      <c r="S68" s="4" t="s">
        <v>178</v>
      </c>
      <c r="T68" s="3">
        <v>1567</v>
      </c>
      <c r="U68" s="4" t="s">
        <v>25</v>
      </c>
      <c r="V68" s="5">
        <v>25.263999999999999</v>
      </c>
      <c r="W68" s="5">
        <v>27.027000000000001</v>
      </c>
      <c r="X68" s="3" t="s">
        <v>179</v>
      </c>
      <c r="Y68" s="12">
        <f t="shared" si="14"/>
        <v>-1.7630000000000017</v>
      </c>
      <c r="AA68" t="b">
        <f t="shared" si="15"/>
        <v>1</v>
      </c>
      <c r="AB68" s="19" t="s">
        <v>964</v>
      </c>
      <c r="AC68" s="19" t="s">
        <v>178</v>
      </c>
      <c r="AD68" s="27">
        <v>673.7</v>
      </c>
      <c r="AE68" s="27"/>
      <c r="AF68" s="28">
        <v>75</v>
      </c>
      <c r="AG68" s="28">
        <v>1805</v>
      </c>
      <c r="AH68" s="27"/>
      <c r="AL68" s="3">
        <v>1567</v>
      </c>
      <c r="AM68" s="35">
        <v>673.7</v>
      </c>
      <c r="AN68" s="40">
        <f>(AM68-122)/3</f>
        <v>183.9</v>
      </c>
      <c r="AO68" s="40">
        <f>AN68*1.0425+1.2088</f>
        <v>192.92455000000001</v>
      </c>
      <c r="AP68" s="35"/>
      <c r="AQ68" s="3"/>
      <c r="AR68" s="3"/>
      <c r="AS68" s="4" t="s">
        <v>25</v>
      </c>
    </row>
    <row r="69" spans="1:45" x14ac:dyDescent="0.25">
      <c r="A69" s="4"/>
      <c r="B69" s="4"/>
      <c r="C69" s="4">
        <v>149</v>
      </c>
      <c r="D69" s="4" t="s">
        <v>180</v>
      </c>
      <c r="E69" s="5" t="s">
        <v>31</v>
      </c>
      <c r="F69" s="5">
        <v>26.076000000000001</v>
      </c>
      <c r="G69" s="13" t="s">
        <v>31</v>
      </c>
      <c r="H69" s="5" t="s">
        <v>24</v>
      </c>
      <c r="I69" s="4" t="s">
        <v>63</v>
      </c>
      <c r="J69" s="4"/>
      <c r="K69" s="4" t="s">
        <v>38</v>
      </c>
      <c r="L69" s="4">
        <v>5</v>
      </c>
      <c r="M69" s="4" t="str">
        <f t="shared" si="12"/>
        <v>G5</v>
      </c>
      <c r="N69" s="4" t="s">
        <v>27</v>
      </c>
      <c r="O69" s="4">
        <v>39</v>
      </c>
      <c r="P69">
        <v>68</v>
      </c>
      <c r="Q69" t="s">
        <v>28</v>
      </c>
      <c r="R69" t="b">
        <f t="shared" si="13"/>
        <v>1</v>
      </c>
      <c r="S69" s="4" t="s">
        <v>180</v>
      </c>
      <c r="T69" s="3">
        <v>1568</v>
      </c>
      <c r="U69" s="4" t="s">
        <v>63</v>
      </c>
      <c r="V69" s="5" t="s">
        <v>31</v>
      </c>
      <c r="W69" s="5">
        <v>26.076000000000001</v>
      </c>
      <c r="X69" s="3" t="s">
        <v>181</v>
      </c>
      <c r="Y69" s="12" t="e">
        <f t="shared" si="14"/>
        <v>#VALUE!</v>
      </c>
      <c r="AA69" t="b">
        <f t="shared" si="15"/>
        <v>1</v>
      </c>
      <c r="AB69" s="19" t="s">
        <v>965</v>
      </c>
      <c r="AC69" s="19" t="s">
        <v>180</v>
      </c>
      <c r="AD69" s="27">
        <v>688.32</v>
      </c>
      <c r="AE69" s="27"/>
      <c r="AF69" s="28">
        <v>64</v>
      </c>
      <c r="AG69" s="28">
        <v>1434</v>
      </c>
      <c r="AH69" s="27"/>
      <c r="AL69" s="3">
        <v>1568</v>
      </c>
      <c r="AM69" s="35">
        <v>688.32</v>
      </c>
      <c r="AN69" s="40">
        <f>(AM69-122)/3</f>
        <v>188.77333333333334</v>
      </c>
      <c r="AO69" s="40">
        <f>AN69*1.0425+1.2088</f>
        <v>198.005</v>
      </c>
      <c r="AP69" s="35"/>
      <c r="AQ69" s="3"/>
      <c r="AR69" s="3"/>
      <c r="AS69" s="4" t="s">
        <v>63</v>
      </c>
    </row>
    <row r="70" spans="1:45" x14ac:dyDescent="0.25">
      <c r="A70" s="4"/>
      <c r="B70" s="4"/>
      <c r="C70" s="4">
        <v>197</v>
      </c>
      <c r="D70" s="4" t="s">
        <v>182</v>
      </c>
      <c r="E70" s="5">
        <v>25.36</v>
      </c>
      <c r="F70" s="5">
        <v>27.178999999999998</v>
      </c>
      <c r="G70" s="13" t="s">
        <v>24</v>
      </c>
      <c r="H70" s="5" t="s">
        <v>24</v>
      </c>
      <c r="I70" s="4" t="s">
        <v>25</v>
      </c>
      <c r="J70" s="4"/>
      <c r="K70" s="4" t="s">
        <v>41</v>
      </c>
      <c r="L70" s="4">
        <v>5</v>
      </c>
      <c r="M70" s="4" t="str">
        <f t="shared" si="12"/>
        <v>I5</v>
      </c>
      <c r="N70" s="4" t="s">
        <v>42</v>
      </c>
      <c r="O70" s="4">
        <v>129</v>
      </c>
      <c r="P70">
        <v>69</v>
      </c>
      <c r="Q70" t="s">
        <v>28</v>
      </c>
      <c r="R70" t="b">
        <f t="shared" si="13"/>
        <v>1</v>
      </c>
      <c r="S70" s="4" t="s">
        <v>182</v>
      </c>
      <c r="T70" s="3">
        <v>1569</v>
      </c>
      <c r="U70" s="4" t="s">
        <v>25</v>
      </c>
      <c r="V70" s="5">
        <v>25.36</v>
      </c>
      <c r="W70" s="5">
        <v>27.178999999999998</v>
      </c>
      <c r="X70" s="3" t="s">
        <v>183</v>
      </c>
      <c r="Y70" s="12">
        <f t="shared" si="14"/>
        <v>-1.8189999999999991</v>
      </c>
      <c r="AA70" t="b">
        <f t="shared" si="15"/>
        <v>1</v>
      </c>
      <c r="AB70" s="19" t="s">
        <v>966</v>
      </c>
      <c r="AC70" s="19" t="s">
        <v>182</v>
      </c>
      <c r="AD70" s="27">
        <v>688.19</v>
      </c>
      <c r="AE70" s="27"/>
      <c r="AF70" s="28">
        <v>111</v>
      </c>
      <c r="AG70" s="28">
        <v>2576</v>
      </c>
      <c r="AH70" s="27"/>
      <c r="AL70" s="3">
        <v>1569</v>
      </c>
      <c r="AM70" s="35">
        <v>688.19</v>
      </c>
      <c r="AN70" s="40">
        <f>(AM70-122)/3</f>
        <v>188.73000000000002</v>
      </c>
      <c r="AO70" s="40">
        <f>AN70*1.0425+1.2088</f>
        <v>197.95982500000002</v>
      </c>
      <c r="AP70" s="35"/>
      <c r="AQ70" s="3"/>
      <c r="AR70" s="3"/>
      <c r="AS70" s="4" t="s">
        <v>25</v>
      </c>
    </row>
    <row r="71" spans="1:45" x14ac:dyDescent="0.25">
      <c r="A71" s="4"/>
      <c r="B71" s="4"/>
      <c r="C71" s="4">
        <v>245</v>
      </c>
      <c r="D71" s="4" t="s">
        <v>184</v>
      </c>
      <c r="E71" s="5">
        <v>24.954000000000001</v>
      </c>
      <c r="F71" s="5">
        <v>26.977</v>
      </c>
      <c r="G71" s="13" t="s">
        <v>24</v>
      </c>
      <c r="H71" s="5" t="s">
        <v>24</v>
      </c>
      <c r="I71" s="4" t="s">
        <v>25</v>
      </c>
      <c r="J71" s="4"/>
      <c r="K71" s="4" t="s">
        <v>45</v>
      </c>
      <c r="L71" s="4">
        <v>5</v>
      </c>
      <c r="M71" s="4" t="str">
        <f t="shared" si="12"/>
        <v>K5</v>
      </c>
      <c r="N71" s="4" t="s">
        <v>42</v>
      </c>
      <c r="O71" s="4">
        <v>131</v>
      </c>
      <c r="P71">
        <v>70</v>
      </c>
      <c r="Q71" t="s">
        <v>28</v>
      </c>
      <c r="R71" t="b">
        <f t="shared" si="13"/>
        <v>1</v>
      </c>
      <c r="S71" s="4" t="s">
        <v>184</v>
      </c>
      <c r="T71" s="3">
        <v>1570</v>
      </c>
      <c r="U71" s="4" t="s">
        <v>25</v>
      </c>
      <c r="V71" s="5">
        <v>24.954000000000001</v>
      </c>
      <c r="W71" s="5">
        <v>26.977</v>
      </c>
      <c r="X71" s="3" t="s">
        <v>185</v>
      </c>
      <c r="Y71" s="12">
        <f t="shared" si="14"/>
        <v>-2.0229999999999997</v>
      </c>
      <c r="AA71" t="b">
        <f t="shared" si="15"/>
        <v>1</v>
      </c>
      <c r="AB71" s="19" t="s">
        <v>967</v>
      </c>
      <c r="AC71" s="19" t="s">
        <v>184</v>
      </c>
      <c r="AD71" s="27">
        <v>699.65</v>
      </c>
      <c r="AE71" s="27"/>
      <c r="AF71" s="28">
        <v>80</v>
      </c>
      <c r="AG71" s="28">
        <v>1644</v>
      </c>
      <c r="AH71" s="27"/>
      <c r="AL71" s="3">
        <v>1570</v>
      </c>
      <c r="AM71" s="35">
        <v>699.65</v>
      </c>
      <c r="AN71" s="40">
        <f>(AM71-122)/3</f>
        <v>192.54999999999998</v>
      </c>
      <c r="AO71" s="40">
        <f>AN71*1.0425+1.2088</f>
        <v>201.94217499999996</v>
      </c>
      <c r="AP71" s="35"/>
      <c r="AQ71" s="3"/>
      <c r="AR71" s="3"/>
      <c r="AS71" s="4" t="s">
        <v>25</v>
      </c>
    </row>
    <row r="72" spans="1:45" x14ac:dyDescent="0.25">
      <c r="A72" s="4"/>
      <c r="B72" s="4"/>
      <c r="C72" s="4">
        <v>293</v>
      </c>
      <c r="D72" s="4" t="s">
        <v>186</v>
      </c>
      <c r="E72" s="5">
        <v>24.728999999999999</v>
      </c>
      <c r="F72" s="5" t="s">
        <v>31</v>
      </c>
      <c r="G72" s="13" t="s">
        <v>24</v>
      </c>
      <c r="H72" s="5" t="s">
        <v>31</v>
      </c>
      <c r="I72" s="4" t="s">
        <v>31</v>
      </c>
      <c r="J72" s="4"/>
      <c r="K72" s="4" t="s">
        <v>48</v>
      </c>
      <c r="L72" s="4">
        <v>5</v>
      </c>
      <c r="M72" s="4" t="str">
        <f t="shared" si="12"/>
        <v>M5</v>
      </c>
      <c r="N72" s="4" t="s">
        <v>42</v>
      </c>
      <c r="O72" s="4">
        <v>133</v>
      </c>
      <c r="P72">
        <v>71</v>
      </c>
      <c r="Q72" t="s">
        <v>28</v>
      </c>
      <c r="R72" t="b">
        <f t="shared" si="13"/>
        <v>1</v>
      </c>
      <c r="S72" s="4" t="s">
        <v>186</v>
      </c>
      <c r="T72" s="3">
        <v>1571</v>
      </c>
      <c r="U72" s="4" t="s">
        <v>31</v>
      </c>
      <c r="V72" s="5">
        <v>24.728999999999999</v>
      </c>
      <c r="W72" s="5" t="s">
        <v>31</v>
      </c>
      <c r="X72" s="3" t="s">
        <v>187</v>
      </c>
      <c r="Y72" s="12" t="e">
        <f t="shared" si="14"/>
        <v>#VALUE!</v>
      </c>
      <c r="AA72" t="b">
        <f t="shared" si="15"/>
        <v>1</v>
      </c>
      <c r="AB72" s="19" t="s">
        <v>968</v>
      </c>
      <c r="AC72" s="19" t="s">
        <v>186</v>
      </c>
      <c r="AD72" s="27"/>
      <c r="AE72" s="27"/>
      <c r="AF72" s="28"/>
      <c r="AG72" s="28"/>
      <c r="AH72" s="27"/>
      <c r="AL72" s="3">
        <v>1571</v>
      </c>
      <c r="AM72" s="35"/>
      <c r="AN72" s="17"/>
      <c r="AO72" s="17"/>
      <c r="AP72" s="35"/>
      <c r="AQ72" s="3"/>
      <c r="AR72" s="3"/>
      <c r="AS72" s="4" t="s">
        <v>31</v>
      </c>
    </row>
    <row r="73" spans="1:45" x14ac:dyDescent="0.25">
      <c r="A73" s="4"/>
      <c r="B73" s="4"/>
      <c r="C73" s="4">
        <v>341</v>
      </c>
      <c r="D73" s="4" t="s">
        <v>188</v>
      </c>
      <c r="E73" s="5">
        <v>24.824000000000002</v>
      </c>
      <c r="F73" s="5">
        <v>26.852</v>
      </c>
      <c r="G73" s="13" t="s">
        <v>24</v>
      </c>
      <c r="H73" s="5" t="s">
        <v>24</v>
      </c>
      <c r="I73" s="4" t="s">
        <v>25</v>
      </c>
      <c r="J73" s="4"/>
      <c r="K73" s="4" t="s">
        <v>51</v>
      </c>
      <c r="L73" s="4">
        <v>5</v>
      </c>
      <c r="M73" s="4" t="str">
        <f t="shared" si="12"/>
        <v>O5</v>
      </c>
      <c r="N73" s="4" t="s">
        <v>42</v>
      </c>
      <c r="O73" s="4">
        <v>135</v>
      </c>
      <c r="P73">
        <v>72</v>
      </c>
      <c r="Q73" t="s">
        <v>28</v>
      </c>
      <c r="R73" t="b">
        <f t="shared" si="13"/>
        <v>1</v>
      </c>
      <c r="S73" s="4" t="s">
        <v>188</v>
      </c>
      <c r="T73" s="3">
        <v>1572</v>
      </c>
      <c r="U73" s="4" t="s">
        <v>25</v>
      </c>
      <c r="V73" s="5">
        <v>24.824000000000002</v>
      </c>
      <c r="W73" s="5">
        <v>26.852</v>
      </c>
      <c r="X73" s="3" t="s">
        <v>189</v>
      </c>
      <c r="Y73" s="12">
        <f t="shared" si="14"/>
        <v>-2.0279999999999987</v>
      </c>
      <c r="AA73" t="b">
        <f t="shared" si="15"/>
        <v>1</v>
      </c>
      <c r="AB73" s="19" t="s">
        <v>969</v>
      </c>
      <c r="AC73" s="19" t="s">
        <v>188</v>
      </c>
      <c r="AD73" s="27">
        <v>687.88</v>
      </c>
      <c r="AE73" s="27"/>
      <c r="AF73" s="28">
        <v>103</v>
      </c>
      <c r="AG73" s="28">
        <v>2776</v>
      </c>
      <c r="AH73" s="27"/>
      <c r="AL73" s="3">
        <v>1572</v>
      </c>
      <c r="AM73" s="35">
        <v>687.88</v>
      </c>
      <c r="AN73" s="40">
        <f>(AM73-122)/3</f>
        <v>188.62666666666667</v>
      </c>
      <c r="AO73" s="40">
        <f>AN73*1.0425+1.2088</f>
        <v>197.85209999999998</v>
      </c>
      <c r="AP73" s="35"/>
      <c r="AQ73" s="3"/>
      <c r="AR73" s="3"/>
      <c r="AS73" s="4" t="s">
        <v>25</v>
      </c>
    </row>
    <row r="74" spans="1:45" x14ac:dyDescent="0.25">
      <c r="A74" s="4"/>
      <c r="B74" s="4"/>
      <c r="C74" s="4">
        <v>29</v>
      </c>
      <c r="D74" s="4" t="s">
        <v>190</v>
      </c>
      <c r="E74" s="5">
        <v>23.376999999999999</v>
      </c>
      <c r="F74" s="5" t="s">
        <v>31</v>
      </c>
      <c r="G74" s="13" t="s">
        <v>24</v>
      </c>
      <c r="H74" s="5" t="s">
        <v>31</v>
      </c>
      <c r="I74" s="4" t="s">
        <v>31</v>
      </c>
      <c r="J74" s="4"/>
      <c r="K74" s="4" t="s">
        <v>54</v>
      </c>
      <c r="L74" s="4">
        <v>5</v>
      </c>
      <c r="M74" s="4" t="str">
        <f t="shared" si="12"/>
        <v>B5</v>
      </c>
      <c r="N74" s="4" t="s">
        <v>27</v>
      </c>
      <c r="O74" s="4">
        <v>34</v>
      </c>
      <c r="P74">
        <v>73</v>
      </c>
      <c r="Q74" t="s">
        <v>28</v>
      </c>
      <c r="R74" t="b">
        <f t="shared" si="13"/>
        <v>1</v>
      </c>
      <c r="S74" s="4" t="s">
        <v>190</v>
      </c>
      <c r="T74" s="3">
        <v>1573</v>
      </c>
      <c r="U74" s="4" t="s">
        <v>31</v>
      </c>
      <c r="V74" s="5">
        <v>23.376999999999999</v>
      </c>
      <c r="W74" s="5" t="s">
        <v>31</v>
      </c>
      <c r="X74" s="3" t="s">
        <v>191</v>
      </c>
      <c r="Y74" s="12" t="e">
        <f t="shared" si="14"/>
        <v>#VALUE!</v>
      </c>
      <c r="AA74" t="b">
        <f t="shared" si="15"/>
        <v>1</v>
      </c>
      <c r="AB74" s="19" t="s">
        <v>970</v>
      </c>
      <c r="AC74" s="19" t="s">
        <v>190</v>
      </c>
      <c r="AD74" s="27"/>
      <c r="AE74" s="27"/>
      <c r="AF74" s="28"/>
      <c r="AG74" s="28"/>
      <c r="AH74" s="27"/>
      <c r="AL74" s="3">
        <v>1573</v>
      </c>
      <c r="AM74" s="35"/>
      <c r="AN74" s="17"/>
      <c r="AO74" s="17"/>
      <c r="AP74" s="35"/>
      <c r="AQ74" s="3"/>
      <c r="AR74" s="3"/>
      <c r="AS74" s="4" t="s">
        <v>31</v>
      </c>
    </row>
    <row r="75" spans="1:45" x14ac:dyDescent="0.25">
      <c r="A75" s="4"/>
      <c r="B75" s="4"/>
      <c r="C75" s="4">
        <v>77</v>
      </c>
      <c r="D75" s="4" t="s">
        <v>192</v>
      </c>
      <c r="E75" s="5">
        <v>25.779</v>
      </c>
      <c r="F75" s="5">
        <v>27.497</v>
      </c>
      <c r="G75" s="13" t="s">
        <v>24</v>
      </c>
      <c r="H75" s="5" t="s">
        <v>24</v>
      </c>
      <c r="I75" s="4" t="s">
        <v>25</v>
      </c>
      <c r="J75" s="4"/>
      <c r="K75" s="4" t="s">
        <v>57</v>
      </c>
      <c r="L75" s="4">
        <v>5</v>
      </c>
      <c r="M75" s="4" t="str">
        <f t="shared" si="12"/>
        <v>D5</v>
      </c>
      <c r="N75" s="4" t="s">
        <v>27</v>
      </c>
      <c r="O75" s="4">
        <v>36</v>
      </c>
      <c r="P75">
        <v>74</v>
      </c>
      <c r="Q75" t="s">
        <v>28</v>
      </c>
      <c r="R75" t="b">
        <f t="shared" si="13"/>
        <v>1</v>
      </c>
      <c r="S75" s="4" t="s">
        <v>192</v>
      </c>
      <c r="T75" s="3">
        <v>1574</v>
      </c>
      <c r="U75" s="4" t="s">
        <v>25</v>
      </c>
      <c r="V75" s="5">
        <v>25.779</v>
      </c>
      <c r="W75" s="5">
        <v>27.497</v>
      </c>
      <c r="X75" s="3" t="s">
        <v>193</v>
      </c>
      <c r="Y75" s="12">
        <f t="shared" si="14"/>
        <v>-1.718</v>
      </c>
      <c r="AA75" t="b">
        <f t="shared" si="15"/>
        <v>1</v>
      </c>
      <c r="AB75" s="19" t="s">
        <v>971</v>
      </c>
      <c r="AC75" s="19" t="s">
        <v>192</v>
      </c>
      <c r="AD75" s="27">
        <v>676.43</v>
      </c>
      <c r="AE75" s="27"/>
      <c r="AF75" s="28">
        <v>64</v>
      </c>
      <c r="AG75" s="28">
        <v>1582</v>
      </c>
      <c r="AH75" s="27"/>
      <c r="AL75" s="3">
        <v>1574</v>
      </c>
      <c r="AM75" s="35">
        <v>676.43</v>
      </c>
      <c r="AN75" s="40">
        <f>(AM75-122)/3</f>
        <v>184.80999999999997</v>
      </c>
      <c r="AO75" s="40">
        <f>AN75*1.0425+1.2088</f>
        <v>193.87322499999996</v>
      </c>
      <c r="AP75" s="35"/>
      <c r="AQ75" s="3"/>
      <c r="AR75" s="3"/>
      <c r="AS75" s="4" t="s">
        <v>25</v>
      </c>
    </row>
    <row r="76" spans="1:45" x14ac:dyDescent="0.25">
      <c r="A76" s="4"/>
      <c r="B76" s="4"/>
      <c r="C76" s="4">
        <v>125</v>
      </c>
      <c r="D76" s="4" t="s">
        <v>194</v>
      </c>
      <c r="E76" s="5">
        <v>24.018999999999998</v>
      </c>
      <c r="F76" s="5" t="s">
        <v>31</v>
      </c>
      <c r="G76" s="13" t="s">
        <v>24</v>
      </c>
      <c r="H76" s="5" t="s">
        <v>31</v>
      </c>
      <c r="I76" s="4" t="s">
        <v>31</v>
      </c>
      <c r="J76" s="4"/>
      <c r="K76" s="4" t="s">
        <v>60</v>
      </c>
      <c r="L76" s="4">
        <v>5</v>
      </c>
      <c r="M76" s="4" t="str">
        <f t="shared" si="12"/>
        <v>F5</v>
      </c>
      <c r="N76" s="4" t="s">
        <v>27</v>
      </c>
      <c r="O76" s="4">
        <v>38</v>
      </c>
      <c r="P76">
        <v>75</v>
      </c>
      <c r="Q76" t="s">
        <v>28</v>
      </c>
      <c r="R76" t="b">
        <f t="shared" si="13"/>
        <v>1</v>
      </c>
      <c r="S76" s="4" t="s">
        <v>194</v>
      </c>
      <c r="T76" s="3">
        <v>1575</v>
      </c>
      <c r="U76" s="4" t="s">
        <v>31</v>
      </c>
      <c r="V76" s="5">
        <v>24.018999999999998</v>
      </c>
      <c r="W76" s="5" t="s">
        <v>31</v>
      </c>
      <c r="X76" s="3" t="s">
        <v>195</v>
      </c>
      <c r="Y76" s="12" t="e">
        <f t="shared" si="14"/>
        <v>#VALUE!</v>
      </c>
      <c r="AA76" t="b">
        <f t="shared" si="15"/>
        <v>1</v>
      </c>
      <c r="AB76" s="19" t="s">
        <v>972</v>
      </c>
      <c r="AC76" s="19" t="s">
        <v>194</v>
      </c>
      <c r="AD76" s="27"/>
      <c r="AE76" s="27"/>
      <c r="AF76" s="28"/>
      <c r="AG76" s="28"/>
      <c r="AH76" s="27"/>
      <c r="AL76" s="3">
        <v>1575</v>
      </c>
      <c r="AM76" s="35"/>
      <c r="AN76" s="17"/>
      <c r="AO76" s="17"/>
      <c r="AP76" s="35"/>
      <c r="AQ76" s="3"/>
      <c r="AR76" s="3"/>
      <c r="AS76" s="4" t="s">
        <v>31</v>
      </c>
    </row>
    <row r="77" spans="1:45" x14ac:dyDescent="0.25">
      <c r="A77" s="4"/>
      <c r="B77" s="4"/>
      <c r="C77" s="4">
        <v>173</v>
      </c>
      <c r="D77" s="4" t="s">
        <v>196</v>
      </c>
      <c r="E77" s="5" t="s">
        <v>31</v>
      </c>
      <c r="F77" s="5">
        <v>25.768000000000001</v>
      </c>
      <c r="G77" s="13" t="s">
        <v>31</v>
      </c>
      <c r="H77" s="5" t="s">
        <v>24</v>
      </c>
      <c r="I77" s="4" t="s">
        <v>63</v>
      </c>
      <c r="J77" s="4"/>
      <c r="K77" s="4" t="s">
        <v>64</v>
      </c>
      <c r="L77" s="4">
        <v>5</v>
      </c>
      <c r="M77" s="4" t="str">
        <f t="shared" si="12"/>
        <v>H5</v>
      </c>
      <c r="N77" s="4" t="s">
        <v>27</v>
      </c>
      <c r="O77" s="4">
        <v>40</v>
      </c>
      <c r="P77">
        <v>76</v>
      </c>
      <c r="Q77" t="s">
        <v>28</v>
      </c>
      <c r="R77" t="b">
        <f t="shared" si="13"/>
        <v>1</v>
      </c>
      <c r="S77" s="4" t="s">
        <v>196</v>
      </c>
      <c r="T77" s="3">
        <v>1576</v>
      </c>
      <c r="U77" s="4" t="s">
        <v>63</v>
      </c>
      <c r="V77" s="5" t="s">
        <v>31</v>
      </c>
      <c r="W77" s="5">
        <v>25.768000000000001</v>
      </c>
      <c r="X77" s="3" t="s">
        <v>197</v>
      </c>
      <c r="Y77" s="12" t="e">
        <f t="shared" si="14"/>
        <v>#VALUE!</v>
      </c>
      <c r="AA77" t="b">
        <f t="shared" si="15"/>
        <v>1</v>
      </c>
      <c r="AB77" s="19" t="s">
        <v>973</v>
      </c>
      <c r="AC77" s="19" t="s">
        <v>196</v>
      </c>
      <c r="AD77" s="27">
        <v>702.64</v>
      </c>
      <c r="AE77" s="27"/>
      <c r="AF77" s="28">
        <v>112</v>
      </c>
      <c r="AG77" s="28">
        <v>2648</v>
      </c>
      <c r="AH77" s="27"/>
      <c r="AL77" s="3">
        <v>1576</v>
      </c>
      <c r="AM77" s="35">
        <v>702.64</v>
      </c>
      <c r="AN77" s="40">
        <f>(AM77-122)/3</f>
        <v>193.54666666666665</v>
      </c>
      <c r="AO77" s="40">
        <f>AN77*1.0425+1.2088</f>
        <v>202.98119999999997</v>
      </c>
      <c r="AP77" s="35"/>
      <c r="AQ77" s="3"/>
      <c r="AR77" s="3"/>
      <c r="AS77" s="4" t="s">
        <v>63</v>
      </c>
    </row>
    <row r="78" spans="1:45" x14ac:dyDescent="0.25">
      <c r="A78" s="4"/>
      <c r="B78" s="4"/>
      <c r="C78" s="4">
        <v>221</v>
      </c>
      <c r="D78" s="4" t="s">
        <v>198</v>
      </c>
      <c r="E78" s="5">
        <v>24.111000000000001</v>
      </c>
      <c r="F78" s="5" t="s">
        <v>31</v>
      </c>
      <c r="G78" s="13" t="s">
        <v>24</v>
      </c>
      <c r="H78" s="5" t="s">
        <v>31</v>
      </c>
      <c r="I78" s="4" t="s">
        <v>31</v>
      </c>
      <c r="J78" s="4"/>
      <c r="K78" s="4" t="s">
        <v>67</v>
      </c>
      <c r="L78" s="4">
        <v>5</v>
      </c>
      <c r="M78" s="4" t="str">
        <f t="shared" si="12"/>
        <v>J5</v>
      </c>
      <c r="N78" s="4" t="s">
        <v>42</v>
      </c>
      <c r="O78" s="4">
        <v>130</v>
      </c>
      <c r="P78">
        <v>77</v>
      </c>
      <c r="Q78" t="s">
        <v>28</v>
      </c>
      <c r="R78" t="b">
        <f t="shared" si="13"/>
        <v>1</v>
      </c>
      <c r="S78" s="4" t="s">
        <v>198</v>
      </c>
      <c r="T78" s="3">
        <v>1577</v>
      </c>
      <c r="U78" s="4" t="s">
        <v>31</v>
      </c>
      <c r="V78" s="5">
        <v>24.111000000000001</v>
      </c>
      <c r="W78" s="5" t="s">
        <v>31</v>
      </c>
      <c r="X78" s="3" t="s">
        <v>199</v>
      </c>
      <c r="Y78" s="12" t="e">
        <f t="shared" si="14"/>
        <v>#VALUE!</v>
      </c>
      <c r="AA78" t="b">
        <f t="shared" si="15"/>
        <v>1</v>
      </c>
      <c r="AB78" s="19" t="s">
        <v>974</v>
      </c>
      <c r="AC78" s="19" t="s">
        <v>198</v>
      </c>
      <c r="AD78" s="27"/>
      <c r="AE78" s="27"/>
      <c r="AF78" s="28"/>
      <c r="AG78" s="28"/>
      <c r="AH78" s="27"/>
      <c r="AL78" s="3">
        <v>1577</v>
      </c>
      <c r="AM78" s="35"/>
      <c r="AN78" s="17"/>
      <c r="AO78" s="17"/>
      <c r="AP78" s="35"/>
      <c r="AQ78" s="3"/>
      <c r="AR78" s="3"/>
      <c r="AS78" s="4" t="s">
        <v>31</v>
      </c>
    </row>
    <row r="79" spans="1:45" x14ac:dyDescent="0.25">
      <c r="A79" s="4"/>
      <c r="B79" s="4"/>
      <c r="C79" s="4">
        <v>269</v>
      </c>
      <c r="D79" s="4" t="s">
        <v>200</v>
      </c>
      <c r="E79" s="5">
        <v>25.033000000000001</v>
      </c>
      <c r="F79" s="5">
        <v>27.027000000000001</v>
      </c>
      <c r="G79" s="13" t="s">
        <v>24</v>
      </c>
      <c r="H79" s="5" t="s">
        <v>24</v>
      </c>
      <c r="I79" s="4" t="s">
        <v>25</v>
      </c>
      <c r="J79" s="4"/>
      <c r="K79" s="4" t="s">
        <v>70</v>
      </c>
      <c r="L79" s="4">
        <v>5</v>
      </c>
      <c r="M79" s="4" t="str">
        <f t="shared" si="12"/>
        <v>L5</v>
      </c>
      <c r="N79" s="4" t="s">
        <v>42</v>
      </c>
      <c r="O79" s="4">
        <v>132</v>
      </c>
      <c r="P79">
        <v>78</v>
      </c>
      <c r="Q79" t="s">
        <v>28</v>
      </c>
      <c r="R79" t="b">
        <f t="shared" si="13"/>
        <v>1</v>
      </c>
      <c r="S79" s="4" t="s">
        <v>200</v>
      </c>
      <c r="T79" s="3">
        <v>1578</v>
      </c>
      <c r="U79" s="4" t="s">
        <v>25</v>
      </c>
      <c r="V79" s="5">
        <v>25.033000000000001</v>
      </c>
      <c r="W79" s="5">
        <v>27.027000000000001</v>
      </c>
      <c r="X79" s="3" t="s">
        <v>201</v>
      </c>
      <c r="Y79" s="12">
        <f t="shared" si="14"/>
        <v>-1.9939999999999998</v>
      </c>
      <c r="AA79" t="b">
        <f t="shared" si="15"/>
        <v>1</v>
      </c>
      <c r="AB79" s="19" t="s">
        <v>975</v>
      </c>
      <c r="AC79" s="19" t="s">
        <v>200</v>
      </c>
      <c r="AD79" s="27">
        <v>699.77</v>
      </c>
      <c r="AE79" s="27"/>
      <c r="AF79" s="28">
        <v>73</v>
      </c>
      <c r="AG79" s="28">
        <v>1819</v>
      </c>
      <c r="AH79" s="27"/>
      <c r="AL79" s="3">
        <v>1578</v>
      </c>
      <c r="AM79" s="35">
        <v>699.77</v>
      </c>
      <c r="AN79" s="40">
        <f t="shared" ref="AN79:AN94" si="16">(AM79-122)/3</f>
        <v>192.59</v>
      </c>
      <c r="AO79" s="40">
        <f t="shared" ref="AO79:AO94" si="17">AN79*1.0425+1.2088</f>
        <v>201.98387499999998</v>
      </c>
      <c r="AP79" s="35"/>
      <c r="AQ79" s="3"/>
      <c r="AR79" s="3"/>
      <c r="AS79" s="4" t="s">
        <v>25</v>
      </c>
    </row>
    <row r="80" spans="1:45" x14ac:dyDescent="0.25">
      <c r="A80" s="4"/>
      <c r="B80" s="4"/>
      <c r="C80" s="4">
        <v>317</v>
      </c>
      <c r="D80" s="4" t="s">
        <v>202</v>
      </c>
      <c r="E80" s="5">
        <v>37.549999999999997</v>
      </c>
      <c r="F80" s="5">
        <v>26.074000000000002</v>
      </c>
      <c r="G80" s="13" t="s">
        <v>19</v>
      </c>
      <c r="H80" s="5" t="s">
        <v>24</v>
      </c>
      <c r="I80" s="4" t="s">
        <v>63</v>
      </c>
      <c r="J80" s="4"/>
      <c r="K80" s="4" t="s">
        <v>73</v>
      </c>
      <c r="L80" s="4">
        <v>5</v>
      </c>
      <c r="M80" s="4" t="str">
        <f t="shared" si="12"/>
        <v>N5</v>
      </c>
      <c r="N80" s="4" t="s">
        <v>42</v>
      </c>
      <c r="O80" s="4">
        <v>134</v>
      </c>
      <c r="P80">
        <v>79</v>
      </c>
      <c r="Q80" t="s">
        <v>28</v>
      </c>
      <c r="R80" t="b">
        <f t="shared" si="13"/>
        <v>1</v>
      </c>
      <c r="S80" s="4" t="s">
        <v>202</v>
      </c>
      <c r="T80" s="3">
        <v>1579</v>
      </c>
      <c r="U80" s="4" t="s">
        <v>63</v>
      </c>
      <c r="V80" s="5">
        <v>37.549999999999997</v>
      </c>
      <c r="W80" s="5">
        <v>26.074000000000002</v>
      </c>
      <c r="X80" s="3" t="s">
        <v>203</v>
      </c>
      <c r="Y80" s="12">
        <f t="shared" si="14"/>
        <v>11.475999999999996</v>
      </c>
      <c r="AA80" t="b">
        <f t="shared" si="15"/>
        <v>1</v>
      </c>
      <c r="AB80" s="19" t="s">
        <v>976</v>
      </c>
      <c r="AC80" s="19" t="s">
        <v>202</v>
      </c>
      <c r="AD80" s="27">
        <v>679.28</v>
      </c>
      <c r="AE80" s="27"/>
      <c r="AF80" s="28">
        <v>201</v>
      </c>
      <c r="AG80" s="28">
        <v>4846</v>
      </c>
      <c r="AH80" s="27"/>
      <c r="AL80" s="3">
        <v>1579</v>
      </c>
      <c r="AM80" s="35">
        <v>679.28</v>
      </c>
      <c r="AN80" s="40">
        <f t="shared" si="16"/>
        <v>185.76</v>
      </c>
      <c r="AO80" s="40">
        <f t="shared" si="17"/>
        <v>194.86359999999999</v>
      </c>
      <c r="AP80" s="35"/>
      <c r="AQ80" s="3"/>
      <c r="AR80" s="3"/>
      <c r="AS80" s="4" t="s">
        <v>63</v>
      </c>
    </row>
    <row r="81" spans="1:45" x14ac:dyDescent="0.25">
      <c r="A81" s="4"/>
      <c r="B81" s="4"/>
      <c r="C81" s="4">
        <v>365</v>
      </c>
      <c r="D81" s="4" t="s">
        <v>204</v>
      </c>
      <c r="E81" s="5">
        <v>25.242999999999999</v>
      </c>
      <c r="F81" s="5">
        <v>27.081</v>
      </c>
      <c r="G81" s="13" t="s">
        <v>24</v>
      </c>
      <c r="H81" s="5" t="s">
        <v>24</v>
      </c>
      <c r="I81" s="4" t="s">
        <v>25</v>
      </c>
      <c r="J81" s="4"/>
      <c r="K81" s="4" t="s">
        <v>76</v>
      </c>
      <c r="L81" s="4">
        <v>5</v>
      </c>
      <c r="M81" s="4" t="str">
        <f t="shared" si="12"/>
        <v>P5</v>
      </c>
      <c r="N81" s="4" t="s">
        <v>42</v>
      </c>
      <c r="O81" s="4">
        <v>136</v>
      </c>
      <c r="P81">
        <v>80</v>
      </c>
      <c r="Q81" t="s">
        <v>28</v>
      </c>
      <c r="R81" t="b">
        <f t="shared" si="13"/>
        <v>1</v>
      </c>
      <c r="S81" s="4" t="s">
        <v>204</v>
      </c>
      <c r="T81" s="3">
        <v>1580</v>
      </c>
      <c r="U81" s="4" t="s">
        <v>25</v>
      </c>
      <c r="V81" s="5">
        <v>25.242999999999999</v>
      </c>
      <c r="W81" s="5">
        <v>27.081</v>
      </c>
      <c r="X81" s="3" t="s">
        <v>205</v>
      </c>
      <c r="Y81" s="12">
        <f t="shared" si="14"/>
        <v>-1.838000000000001</v>
      </c>
      <c r="AA81" t="b">
        <f t="shared" si="15"/>
        <v>1</v>
      </c>
      <c r="AB81" s="19" t="s">
        <v>977</v>
      </c>
      <c r="AC81" s="19" t="s">
        <v>204</v>
      </c>
      <c r="AD81" s="3">
        <v>680.6</v>
      </c>
      <c r="AE81" s="3"/>
      <c r="AF81" s="3">
        <v>743</v>
      </c>
      <c r="AG81" s="28"/>
      <c r="AH81" s="3" t="s">
        <v>19</v>
      </c>
      <c r="AL81" s="3">
        <v>1580</v>
      </c>
      <c r="AM81" s="17">
        <v>680.6</v>
      </c>
      <c r="AN81" s="40">
        <f t="shared" si="16"/>
        <v>186.20000000000002</v>
      </c>
      <c r="AO81" s="40">
        <f t="shared" si="17"/>
        <v>195.32230000000001</v>
      </c>
      <c r="AP81" s="17"/>
      <c r="AQ81" s="3"/>
      <c r="AR81" s="3"/>
      <c r="AS81" s="4" t="s">
        <v>25</v>
      </c>
    </row>
    <row r="82" spans="1:45" x14ac:dyDescent="0.25">
      <c r="A82" s="4"/>
      <c r="B82" s="4"/>
      <c r="C82" s="4">
        <v>6</v>
      </c>
      <c r="D82" s="4" t="s">
        <v>206</v>
      </c>
      <c r="E82" s="5">
        <v>36.518000000000001</v>
      </c>
      <c r="F82" s="5">
        <v>25.178000000000001</v>
      </c>
      <c r="G82" s="13" t="s">
        <v>19</v>
      </c>
      <c r="H82" s="5" t="s">
        <v>24</v>
      </c>
      <c r="I82" s="4" t="s">
        <v>63</v>
      </c>
      <c r="J82" s="4"/>
      <c r="K82" s="4" t="s">
        <v>26</v>
      </c>
      <c r="L82" s="4">
        <v>6</v>
      </c>
      <c r="M82" s="4" t="str">
        <f t="shared" si="12"/>
        <v>A6</v>
      </c>
      <c r="N82" s="4" t="s">
        <v>27</v>
      </c>
      <c r="O82" s="4">
        <v>41</v>
      </c>
      <c r="P82">
        <v>81</v>
      </c>
      <c r="Q82" t="s">
        <v>28</v>
      </c>
      <c r="R82" t="b">
        <f t="shared" si="13"/>
        <v>1</v>
      </c>
      <c r="S82" s="4" t="s">
        <v>206</v>
      </c>
      <c r="T82" s="3">
        <v>1581</v>
      </c>
      <c r="U82" s="4" t="s">
        <v>63</v>
      </c>
      <c r="V82" s="5">
        <v>36.518000000000001</v>
      </c>
      <c r="W82" s="5">
        <v>25.178000000000001</v>
      </c>
      <c r="X82" s="3" t="s">
        <v>207</v>
      </c>
      <c r="Y82" s="12">
        <f t="shared" si="14"/>
        <v>11.34</v>
      </c>
      <c r="AA82" t="b">
        <f t="shared" si="15"/>
        <v>1</v>
      </c>
      <c r="AB82" s="19" t="s">
        <v>978</v>
      </c>
      <c r="AC82" s="19" t="s">
        <v>206</v>
      </c>
      <c r="AD82" s="3">
        <v>680.76</v>
      </c>
      <c r="AE82" s="3"/>
      <c r="AF82" s="3">
        <v>1259</v>
      </c>
      <c r="AG82" s="28"/>
      <c r="AH82" s="3" t="s">
        <v>19</v>
      </c>
      <c r="AL82" s="3">
        <v>1581</v>
      </c>
      <c r="AM82" s="17">
        <v>680.76</v>
      </c>
      <c r="AN82" s="40">
        <f t="shared" si="16"/>
        <v>186.25333333333333</v>
      </c>
      <c r="AO82" s="40">
        <f t="shared" si="17"/>
        <v>195.37789999999998</v>
      </c>
      <c r="AP82" s="17"/>
      <c r="AQ82" s="3"/>
      <c r="AR82" s="3"/>
      <c r="AS82" s="4" t="s">
        <v>63</v>
      </c>
    </row>
    <row r="83" spans="1:45" x14ac:dyDescent="0.25">
      <c r="A83" s="4"/>
      <c r="B83" s="4"/>
      <c r="C83" s="4">
        <v>54</v>
      </c>
      <c r="D83" s="4" t="s">
        <v>208</v>
      </c>
      <c r="E83" s="5">
        <v>24.722000000000001</v>
      </c>
      <c r="F83" s="5">
        <v>26.463999999999999</v>
      </c>
      <c r="G83" s="13" t="s">
        <v>24</v>
      </c>
      <c r="H83" s="5" t="s">
        <v>24</v>
      </c>
      <c r="I83" s="4" t="s">
        <v>25</v>
      </c>
      <c r="J83" s="4"/>
      <c r="K83" s="4" t="s">
        <v>32</v>
      </c>
      <c r="L83" s="4">
        <v>6</v>
      </c>
      <c r="M83" s="4" t="str">
        <f t="shared" si="12"/>
        <v>C6</v>
      </c>
      <c r="N83" s="4" t="s">
        <v>27</v>
      </c>
      <c r="O83" s="4">
        <v>43</v>
      </c>
      <c r="P83">
        <v>82</v>
      </c>
      <c r="Q83" t="s">
        <v>28</v>
      </c>
      <c r="R83" t="b">
        <f t="shared" si="13"/>
        <v>1</v>
      </c>
      <c r="S83" s="4" t="s">
        <v>208</v>
      </c>
      <c r="T83" s="3">
        <v>1582</v>
      </c>
      <c r="U83" s="4" t="s">
        <v>25</v>
      </c>
      <c r="V83" s="5">
        <v>24.722000000000001</v>
      </c>
      <c r="W83" s="5">
        <v>26.463999999999999</v>
      </c>
      <c r="X83" s="3" t="s">
        <v>209</v>
      </c>
      <c r="Y83" s="12">
        <f t="shared" si="14"/>
        <v>-1.7419999999999973</v>
      </c>
      <c r="AA83" t="b">
        <f t="shared" si="15"/>
        <v>1</v>
      </c>
      <c r="AB83" s="19" t="s">
        <v>979</v>
      </c>
      <c r="AC83" s="19" t="s">
        <v>208</v>
      </c>
      <c r="AD83" s="3">
        <v>677.85</v>
      </c>
      <c r="AE83" s="3"/>
      <c r="AF83" s="3">
        <v>915</v>
      </c>
      <c r="AG83" s="28"/>
      <c r="AH83" s="3" t="s">
        <v>19</v>
      </c>
      <c r="AL83" s="3">
        <v>1582</v>
      </c>
      <c r="AM83" s="17">
        <v>677.85</v>
      </c>
      <c r="AN83" s="40">
        <f t="shared" si="16"/>
        <v>185.28333333333333</v>
      </c>
      <c r="AO83" s="40">
        <f t="shared" si="17"/>
        <v>194.36667499999999</v>
      </c>
      <c r="AP83" s="17"/>
      <c r="AQ83" s="3"/>
      <c r="AR83" s="3"/>
      <c r="AS83" s="4" t="s">
        <v>25</v>
      </c>
    </row>
    <row r="84" spans="1:45" x14ac:dyDescent="0.25">
      <c r="A84" s="4"/>
      <c r="B84" s="4"/>
      <c r="C84" s="4">
        <v>102</v>
      </c>
      <c r="D84" s="4" t="s">
        <v>210</v>
      </c>
      <c r="E84" s="5">
        <v>24.654</v>
      </c>
      <c r="F84" s="5">
        <v>26.577000000000002</v>
      </c>
      <c r="G84" s="13" t="s">
        <v>24</v>
      </c>
      <c r="H84" s="5" t="s">
        <v>24</v>
      </c>
      <c r="I84" s="4" t="s">
        <v>25</v>
      </c>
      <c r="J84" s="4"/>
      <c r="K84" s="4" t="s">
        <v>35</v>
      </c>
      <c r="L84" s="4">
        <v>6</v>
      </c>
      <c r="M84" s="4" t="str">
        <f t="shared" si="12"/>
        <v>E6</v>
      </c>
      <c r="N84" s="4" t="s">
        <v>27</v>
      </c>
      <c r="O84" s="4">
        <v>45</v>
      </c>
      <c r="P84">
        <v>83</v>
      </c>
      <c r="Q84" t="s">
        <v>28</v>
      </c>
      <c r="R84" t="b">
        <f t="shared" si="13"/>
        <v>1</v>
      </c>
      <c r="S84" s="4" t="s">
        <v>210</v>
      </c>
      <c r="T84" s="3">
        <v>1583</v>
      </c>
      <c r="U84" s="4" t="s">
        <v>25</v>
      </c>
      <c r="V84" s="5">
        <v>24.654</v>
      </c>
      <c r="W84" s="5">
        <v>26.577000000000002</v>
      </c>
      <c r="X84" s="3" t="s">
        <v>211</v>
      </c>
      <c r="Y84" s="12">
        <f t="shared" si="14"/>
        <v>-1.9230000000000018</v>
      </c>
      <c r="AA84" t="b">
        <f t="shared" si="15"/>
        <v>1</v>
      </c>
      <c r="AB84" s="19" t="s">
        <v>980</v>
      </c>
      <c r="AC84" s="19" t="s">
        <v>210</v>
      </c>
      <c r="AD84" s="3">
        <v>663.36</v>
      </c>
      <c r="AE84" s="3"/>
      <c r="AF84" s="3">
        <v>1345</v>
      </c>
      <c r="AG84" s="28"/>
      <c r="AH84" s="3" t="s">
        <v>19</v>
      </c>
      <c r="AL84" s="3">
        <v>1583</v>
      </c>
      <c r="AM84" s="17">
        <v>663.36</v>
      </c>
      <c r="AN84" s="40">
        <f t="shared" si="16"/>
        <v>180.45333333333335</v>
      </c>
      <c r="AO84" s="40">
        <f t="shared" si="17"/>
        <v>189.3314</v>
      </c>
      <c r="AP84" s="17"/>
      <c r="AQ84" s="3"/>
      <c r="AR84" s="3"/>
      <c r="AS84" s="4" t="s">
        <v>25</v>
      </c>
    </row>
    <row r="85" spans="1:45" x14ac:dyDescent="0.25">
      <c r="A85" s="4"/>
      <c r="B85" s="4"/>
      <c r="C85" s="4">
        <v>150</v>
      </c>
      <c r="D85" s="4" t="s">
        <v>212</v>
      </c>
      <c r="E85" s="5">
        <v>25.172999999999998</v>
      </c>
      <c r="F85" s="5">
        <v>26.974</v>
      </c>
      <c r="G85" s="13" t="s">
        <v>24</v>
      </c>
      <c r="H85" s="5" t="s">
        <v>24</v>
      </c>
      <c r="I85" s="4" t="s">
        <v>25</v>
      </c>
      <c r="J85" s="4"/>
      <c r="K85" s="4" t="s">
        <v>38</v>
      </c>
      <c r="L85" s="4">
        <v>6</v>
      </c>
      <c r="M85" s="4" t="str">
        <f t="shared" si="12"/>
        <v>G6</v>
      </c>
      <c r="N85" s="4" t="s">
        <v>27</v>
      </c>
      <c r="O85" s="4">
        <v>47</v>
      </c>
      <c r="P85">
        <v>84</v>
      </c>
      <c r="Q85" t="s">
        <v>28</v>
      </c>
      <c r="R85" t="b">
        <f t="shared" si="13"/>
        <v>1</v>
      </c>
      <c r="S85" s="4" t="s">
        <v>212</v>
      </c>
      <c r="T85" s="3">
        <v>1584</v>
      </c>
      <c r="U85" s="4" t="s">
        <v>25</v>
      </c>
      <c r="V85" s="5">
        <v>25.172999999999998</v>
      </c>
      <c r="W85" s="5">
        <v>26.974</v>
      </c>
      <c r="X85" s="3" t="s">
        <v>213</v>
      </c>
      <c r="Y85" s="12">
        <f t="shared" si="14"/>
        <v>-1.8010000000000019</v>
      </c>
      <c r="AA85" t="b">
        <f t="shared" si="15"/>
        <v>1</v>
      </c>
      <c r="AB85" s="19" t="s">
        <v>981</v>
      </c>
      <c r="AC85" s="19" t="s">
        <v>212</v>
      </c>
      <c r="AD85" s="3">
        <v>695.1</v>
      </c>
      <c r="AE85" s="3"/>
      <c r="AF85" s="3">
        <v>677</v>
      </c>
      <c r="AG85" s="28"/>
      <c r="AH85" s="3" t="s">
        <v>19</v>
      </c>
      <c r="AL85" s="3">
        <v>1584</v>
      </c>
      <c r="AM85" s="17">
        <v>695.1</v>
      </c>
      <c r="AN85" s="40">
        <f t="shared" si="16"/>
        <v>191.03333333333333</v>
      </c>
      <c r="AO85" s="40">
        <f t="shared" si="17"/>
        <v>200.36104999999998</v>
      </c>
      <c r="AP85" s="17"/>
      <c r="AQ85" s="3"/>
      <c r="AR85" s="3"/>
      <c r="AS85" s="4" t="s">
        <v>25</v>
      </c>
    </row>
    <row r="86" spans="1:45" x14ac:dyDescent="0.25">
      <c r="A86" s="4"/>
      <c r="B86" s="4"/>
      <c r="C86" s="4">
        <v>7</v>
      </c>
      <c r="D86" s="4" t="s">
        <v>214</v>
      </c>
      <c r="E86" s="5">
        <v>23.484999999999999</v>
      </c>
      <c r="F86" s="5">
        <v>25.414999999999999</v>
      </c>
      <c r="G86" s="13" t="s">
        <v>24</v>
      </c>
      <c r="H86" s="5" t="s">
        <v>24</v>
      </c>
      <c r="I86" s="4" t="s">
        <v>25</v>
      </c>
      <c r="J86" s="4"/>
      <c r="K86" s="4" t="s">
        <v>26</v>
      </c>
      <c r="L86" s="4">
        <v>7</v>
      </c>
      <c r="M86" s="4" t="str">
        <f t="shared" si="12"/>
        <v>A7</v>
      </c>
      <c r="N86" s="4" t="s">
        <v>27</v>
      </c>
      <c r="O86" s="4">
        <v>49</v>
      </c>
      <c r="P86">
        <v>97</v>
      </c>
      <c r="Q86" t="s">
        <v>28</v>
      </c>
      <c r="R86" t="b">
        <f t="shared" si="13"/>
        <v>1</v>
      </c>
      <c r="S86" s="4" t="s">
        <v>214</v>
      </c>
      <c r="T86" s="3">
        <v>3174</v>
      </c>
      <c r="U86" s="4" t="s">
        <v>25</v>
      </c>
      <c r="V86" s="5">
        <v>23.484999999999999</v>
      </c>
      <c r="W86" s="5">
        <v>25.414999999999999</v>
      </c>
      <c r="X86" s="3" t="s">
        <v>215</v>
      </c>
      <c r="Y86" s="12">
        <f t="shared" si="14"/>
        <v>-1.9299999999999997</v>
      </c>
      <c r="AA86" t="b">
        <f t="shared" si="15"/>
        <v>1</v>
      </c>
      <c r="AB86" s="19" t="s">
        <v>982</v>
      </c>
      <c r="AC86" s="19" t="s">
        <v>214</v>
      </c>
      <c r="AD86" s="29">
        <v>572.20000000000005</v>
      </c>
      <c r="AE86" s="29"/>
      <c r="AF86" s="28">
        <v>102</v>
      </c>
      <c r="AG86" s="28">
        <v>2341</v>
      </c>
      <c r="AH86" s="29"/>
      <c r="AL86" s="3">
        <v>3174</v>
      </c>
      <c r="AM86" s="37">
        <v>572.20000000000005</v>
      </c>
      <c r="AN86" s="40">
        <f t="shared" si="16"/>
        <v>150.06666666666669</v>
      </c>
      <c r="AO86" s="40">
        <f t="shared" si="17"/>
        <v>157.65330000000003</v>
      </c>
      <c r="AP86" s="37"/>
      <c r="AQ86" s="3"/>
      <c r="AR86" s="3"/>
      <c r="AS86" s="4" t="s">
        <v>25</v>
      </c>
    </row>
    <row r="87" spans="1:45" x14ac:dyDescent="0.25">
      <c r="A87" s="4"/>
      <c r="B87" s="4"/>
      <c r="C87" s="4">
        <v>55</v>
      </c>
      <c r="D87" s="4" t="s">
        <v>216</v>
      </c>
      <c r="E87" s="5">
        <v>34.85</v>
      </c>
      <c r="F87" s="5">
        <v>24.495999999999999</v>
      </c>
      <c r="G87" s="13" t="s">
        <v>19</v>
      </c>
      <c r="H87" s="5" t="s">
        <v>24</v>
      </c>
      <c r="I87" s="4" t="s">
        <v>63</v>
      </c>
      <c r="J87" s="4"/>
      <c r="K87" s="4" t="s">
        <v>32</v>
      </c>
      <c r="L87" s="4">
        <v>7</v>
      </c>
      <c r="M87" s="4" t="str">
        <f t="shared" si="12"/>
        <v>C7</v>
      </c>
      <c r="N87" s="4" t="s">
        <v>27</v>
      </c>
      <c r="O87" s="4">
        <v>51</v>
      </c>
      <c r="P87">
        <v>98</v>
      </c>
      <c r="Q87" t="s">
        <v>28</v>
      </c>
      <c r="R87" t="b">
        <f t="shared" si="13"/>
        <v>1</v>
      </c>
      <c r="S87" s="4" t="s">
        <v>216</v>
      </c>
      <c r="T87" s="3">
        <v>3175</v>
      </c>
      <c r="U87" s="4" t="s">
        <v>63</v>
      </c>
      <c r="V87" s="5">
        <v>34.85</v>
      </c>
      <c r="W87" s="5">
        <v>24.495999999999999</v>
      </c>
      <c r="X87" s="3" t="s">
        <v>217</v>
      </c>
      <c r="Y87" s="12">
        <f t="shared" si="14"/>
        <v>10.354000000000003</v>
      </c>
      <c r="AA87" t="b">
        <f t="shared" si="15"/>
        <v>1</v>
      </c>
      <c r="AB87" s="19" t="s">
        <v>983</v>
      </c>
      <c r="AC87" s="19" t="s">
        <v>216</v>
      </c>
      <c r="AD87" s="29">
        <v>543.28</v>
      </c>
      <c r="AE87" s="29">
        <v>592.67999999999995</v>
      </c>
      <c r="AF87" s="28">
        <v>169</v>
      </c>
      <c r="AG87" s="28">
        <v>3060</v>
      </c>
      <c r="AH87" s="29"/>
      <c r="AL87" s="3">
        <v>3175</v>
      </c>
      <c r="AM87" s="37">
        <v>543.28</v>
      </c>
      <c r="AN87" s="40">
        <f t="shared" si="16"/>
        <v>140.42666666666665</v>
      </c>
      <c r="AO87" s="40">
        <f t="shared" si="17"/>
        <v>147.60359999999997</v>
      </c>
      <c r="AP87" s="37">
        <v>592.67999999999995</v>
      </c>
      <c r="AQ87" s="40">
        <f>(AP87-122)/3</f>
        <v>156.89333333333332</v>
      </c>
      <c r="AR87" s="40">
        <f>AQ87*1.0425+1.2088</f>
        <v>164.77009999999999</v>
      </c>
      <c r="AS87" s="4" t="s">
        <v>63</v>
      </c>
    </row>
    <row r="88" spans="1:45" x14ac:dyDescent="0.25">
      <c r="A88" s="4"/>
      <c r="B88" s="4"/>
      <c r="C88" s="4">
        <v>103</v>
      </c>
      <c r="D88" s="4" t="s">
        <v>218</v>
      </c>
      <c r="E88" s="5">
        <v>23.408000000000001</v>
      </c>
      <c r="F88" s="5">
        <v>25.466999999999999</v>
      </c>
      <c r="G88" s="13" t="s">
        <v>24</v>
      </c>
      <c r="H88" s="5" t="s">
        <v>24</v>
      </c>
      <c r="I88" s="4" t="s">
        <v>25</v>
      </c>
      <c r="J88" s="4"/>
      <c r="K88" s="4" t="s">
        <v>35</v>
      </c>
      <c r="L88" s="4">
        <v>7</v>
      </c>
      <c r="M88" s="4" t="str">
        <f t="shared" si="12"/>
        <v>E7</v>
      </c>
      <c r="N88" s="4" t="s">
        <v>27</v>
      </c>
      <c r="O88" s="4">
        <v>53</v>
      </c>
      <c r="P88">
        <v>99</v>
      </c>
      <c r="Q88" t="s">
        <v>28</v>
      </c>
      <c r="R88" t="b">
        <f t="shared" si="13"/>
        <v>1</v>
      </c>
      <c r="S88" s="4" t="s">
        <v>218</v>
      </c>
      <c r="T88" s="3">
        <v>3176</v>
      </c>
      <c r="U88" s="4" t="s">
        <v>25</v>
      </c>
      <c r="V88" s="5">
        <v>23.408000000000001</v>
      </c>
      <c r="W88" s="5">
        <v>25.466999999999999</v>
      </c>
      <c r="X88" s="3" t="s">
        <v>219</v>
      </c>
      <c r="Y88" s="12">
        <f t="shared" si="14"/>
        <v>-2.0589999999999975</v>
      </c>
      <c r="AA88" t="b">
        <f t="shared" si="15"/>
        <v>1</v>
      </c>
      <c r="AB88" s="19" t="s">
        <v>984</v>
      </c>
      <c r="AC88" s="19" t="s">
        <v>218</v>
      </c>
      <c r="AD88" s="29">
        <v>531.71</v>
      </c>
      <c r="AE88" s="29"/>
      <c r="AF88" s="28">
        <v>236</v>
      </c>
      <c r="AG88" s="28">
        <v>4401</v>
      </c>
      <c r="AH88" s="29"/>
      <c r="AL88" s="3">
        <v>3176</v>
      </c>
      <c r="AM88" s="37">
        <v>531.71</v>
      </c>
      <c r="AN88" s="40">
        <f t="shared" si="16"/>
        <v>136.57000000000002</v>
      </c>
      <c r="AO88" s="40">
        <f t="shared" si="17"/>
        <v>143.58302500000002</v>
      </c>
      <c r="AP88" s="37"/>
      <c r="AQ88" s="3"/>
      <c r="AR88" s="3"/>
      <c r="AS88" s="4" t="s">
        <v>25</v>
      </c>
    </row>
    <row r="89" spans="1:45" x14ac:dyDescent="0.25">
      <c r="A89" s="4"/>
      <c r="B89" s="4"/>
      <c r="C89" s="4">
        <v>151</v>
      </c>
      <c r="D89" s="4" t="s">
        <v>220</v>
      </c>
      <c r="E89" s="5">
        <v>24.16</v>
      </c>
      <c r="F89" s="5">
        <v>26.125</v>
      </c>
      <c r="G89" s="13" t="s">
        <v>24</v>
      </c>
      <c r="H89" s="5" t="s">
        <v>24</v>
      </c>
      <c r="I89" s="4" t="s">
        <v>25</v>
      </c>
      <c r="J89" s="4"/>
      <c r="K89" s="4" t="s">
        <v>38</v>
      </c>
      <c r="L89" s="4">
        <v>7</v>
      </c>
      <c r="M89" s="4" t="str">
        <f t="shared" si="12"/>
        <v>G7</v>
      </c>
      <c r="N89" s="4" t="s">
        <v>27</v>
      </c>
      <c r="O89" s="4">
        <v>55</v>
      </c>
      <c r="P89">
        <v>100</v>
      </c>
      <c r="Q89" t="s">
        <v>28</v>
      </c>
      <c r="R89" t="b">
        <f t="shared" si="13"/>
        <v>1</v>
      </c>
      <c r="S89" s="4" t="s">
        <v>220</v>
      </c>
      <c r="T89" s="3">
        <v>3177</v>
      </c>
      <c r="U89" s="4" t="s">
        <v>25</v>
      </c>
      <c r="V89" s="5">
        <v>24.16</v>
      </c>
      <c r="W89" s="5">
        <v>26.125</v>
      </c>
      <c r="X89" s="3" t="s">
        <v>221</v>
      </c>
      <c r="Y89" s="12">
        <f t="shared" si="14"/>
        <v>-1.9649999999999999</v>
      </c>
      <c r="AA89" t="b">
        <f t="shared" si="15"/>
        <v>1</v>
      </c>
      <c r="AB89" s="19" t="s">
        <v>985</v>
      </c>
      <c r="AC89" s="19" t="s">
        <v>220</v>
      </c>
      <c r="AD89" s="29">
        <v>531.6</v>
      </c>
      <c r="AE89" s="29"/>
      <c r="AF89" s="28">
        <v>245</v>
      </c>
      <c r="AG89" s="28">
        <v>5092</v>
      </c>
      <c r="AH89" s="29"/>
      <c r="AL89" s="3">
        <v>3177</v>
      </c>
      <c r="AM89" s="37">
        <v>531.6</v>
      </c>
      <c r="AN89" s="40">
        <f t="shared" si="16"/>
        <v>136.53333333333333</v>
      </c>
      <c r="AO89" s="40">
        <f t="shared" si="17"/>
        <v>143.54479999999998</v>
      </c>
      <c r="AP89" s="37"/>
      <c r="AQ89" s="3"/>
      <c r="AR89" s="3"/>
      <c r="AS89" s="4" t="s">
        <v>25</v>
      </c>
    </row>
    <row r="90" spans="1:45" x14ac:dyDescent="0.25">
      <c r="A90" s="4"/>
      <c r="B90" s="4"/>
      <c r="C90" s="4">
        <v>199</v>
      </c>
      <c r="D90" s="4" t="s">
        <v>222</v>
      </c>
      <c r="E90" s="5">
        <v>23.393000000000001</v>
      </c>
      <c r="F90" s="5">
        <v>25.512</v>
      </c>
      <c r="G90" s="13" t="s">
        <v>24</v>
      </c>
      <c r="H90" s="5" t="s">
        <v>24</v>
      </c>
      <c r="I90" s="4" t="s">
        <v>25</v>
      </c>
      <c r="J90" s="4"/>
      <c r="K90" s="4" t="s">
        <v>41</v>
      </c>
      <c r="L90" s="4">
        <v>7</v>
      </c>
      <c r="M90" s="4" t="str">
        <f t="shared" si="12"/>
        <v>I7</v>
      </c>
      <c r="N90" s="4" t="s">
        <v>42</v>
      </c>
      <c r="O90" s="4">
        <v>145</v>
      </c>
      <c r="P90">
        <v>101</v>
      </c>
      <c r="Q90" t="s">
        <v>28</v>
      </c>
      <c r="R90" t="b">
        <f t="shared" si="13"/>
        <v>1</v>
      </c>
      <c r="S90" s="4" t="s">
        <v>222</v>
      </c>
      <c r="T90" s="3">
        <v>3178</v>
      </c>
      <c r="U90" s="4" t="s">
        <v>25</v>
      </c>
      <c r="V90" s="5">
        <v>23.393000000000001</v>
      </c>
      <c r="W90" s="5">
        <v>25.512</v>
      </c>
      <c r="X90" s="3" t="s">
        <v>223</v>
      </c>
      <c r="Y90" s="12">
        <f t="shared" si="14"/>
        <v>-2.1189999999999998</v>
      </c>
      <c r="AA90" t="b">
        <f t="shared" si="15"/>
        <v>1</v>
      </c>
      <c r="AB90" s="19" t="s">
        <v>986</v>
      </c>
      <c r="AC90" s="19" t="s">
        <v>222</v>
      </c>
      <c r="AD90" s="29">
        <v>548.94000000000005</v>
      </c>
      <c r="AE90" s="29"/>
      <c r="AF90" s="28">
        <v>250</v>
      </c>
      <c r="AG90" s="28">
        <v>5458</v>
      </c>
      <c r="AH90" s="29"/>
      <c r="AL90" s="3">
        <v>3178</v>
      </c>
      <c r="AM90" s="37">
        <v>548.94000000000005</v>
      </c>
      <c r="AN90" s="40">
        <f t="shared" si="16"/>
        <v>142.31333333333336</v>
      </c>
      <c r="AO90" s="40">
        <f t="shared" si="17"/>
        <v>149.57045000000002</v>
      </c>
      <c r="AP90" s="37"/>
      <c r="AQ90" s="3"/>
      <c r="AR90" s="3"/>
      <c r="AS90" s="4" t="s">
        <v>25</v>
      </c>
    </row>
    <row r="91" spans="1:45" x14ac:dyDescent="0.25">
      <c r="A91" s="4"/>
      <c r="B91" s="4"/>
      <c r="C91" s="4">
        <v>247</v>
      </c>
      <c r="D91" s="4" t="s">
        <v>224</v>
      </c>
      <c r="E91" s="5">
        <v>23.3</v>
      </c>
      <c r="F91" s="5">
        <v>25.324999999999999</v>
      </c>
      <c r="G91" s="13" t="s">
        <v>24</v>
      </c>
      <c r="H91" s="5" t="s">
        <v>24</v>
      </c>
      <c r="I91" s="4" t="s">
        <v>25</v>
      </c>
      <c r="J91" s="4"/>
      <c r="K91" s="4" t="s">
        <v>45</v>
      </c>
      <c r="L91" s="4">
        <v>7</v>
      </c>
      <c r="M91" s="4" t="str">
        <f t="shared" si="12"/>
        <v>K7</v>
      </c>
      <c r="N91" s="4" t="s">
        <v>42</v>
      </c>
      <c r="O91" s="4">
        <v>147</v>
      </c>
      <c r="P91">
        <v>102</v>
      </c>
      <c r="Q91" t="s">
        <v>28</v>
      </c>
      <c r="R91" t="b">
        <f t="shared" si="13"/>
        <v>1</v>
      </c>
      <c r="S91" s="4" t="s">
        <v>224</v>
      </c>
      <c r="T91" s="3">
        <v>3179</v>
      </c>
      <c r="U91" s="4" t="s">
        <v>25</v>
      </c>
      <c r="V91" s="5">
        <v>23.3</v>
      </c>
      <c r="W91" s="5">
        <v>25.324999999999999</v>
      </c>
      <c r="X91" s="3" t="s">
        <v>225</v>
      </c>
      <c r="Y91" s="12">
        <f t="shared" si="14"/>
        <v>-2.0249999999999986</v>
      </c>
      <c r="AA91" t="b">
        <f t="shared" si="15"/>
        <v>1</v>
      </c>
      <c r="AB91" s="19" t="s">
        <v>987</v>
      </c>
      <c r="AC91" s="19" t="s">
        <v>224</v>
      </c>
      <c r="AD91" s="29">
        <v>540.23</v>
      </c>
      <c r="AE91" s="29"/>
      <c r="AF91" s="28">
        <v>303</v>
      </c>
      <c r="AG91" s="28">
        <v>6024</v>
      </c>
      <c r="AH91" s="29"/>
      <c r="AL91" s="3">
        <v>3179</v>
      </c>
      <c r="AM91" s="37">
        <v>540.23</v>
      </c>
      <c r="AN91" s="40">
        <f t="shared" si="16"/>
        <v>139.41</v>
      </c>
      <c r="AO91" s="40">
        <f t="shared" si="17"/>
        <v>146.54372499999999</v>
      </c>
      <c r="AP91" s="37"/>
      <c r="AQ91" s="3"/>
      <c r="AR91" s="3"/>
      <c r="AS91" s="4" t="s">
        <v>25</v>
      </c>
    </row>
    <row r="92" spans="1:45" x14ac:dyDescent="0.25">
      <c r="A92" s="4"/>
      <c r="B92" s="4"/>
      <c r="C92" s="4">
        <v>295</v>
      </c>
      <c r="D92" s="4" t="s">
        <v>226</v>
      </c>
      <c r="E92" s="5">
        <v>23.3</v>
      </c>
      <c r="F92" s="5">
        <v>25.466999999999999</v>
      </c>
      <c r="G92" s="13" t="s">
        <v>24</v>
      </c>
      <c r="H92" s="5" t="s">
        <v>24</v>
      </c>
      <c r="I92" s="4" t="s">
        <v>25</v>
      </c>
      <c r="J92" s="4"/>
      <c r="K92" s="4" t="s">
        <v>48</v>
      </c>
      <c r="L92" s="4">
        <v>7</v>
      </c>
      <c r="M92" s="4" t="str">
        <f t="shared" si="12"/>
        <v>M7</v>
      </c>
      <c r="N92" s="4" t="s">
        <v>42</v>
      </c>
      <c r="O92" s="4">
        <v>149</v>
      </c>
      <c r="P92">
        <v>103</v>
      </c>
      <c r="Q92" t="s">
        <v>28</v>
      </c>
      <c r="R92" t="b">
        <f t="shared" si="13"/>
        <v>1</v>
      </c>
      <c r="S92" s="4" t="s">
        <v>226</v>
      </c>
      <c r="T92" s="3">
        <v>3180</v>
      </c>
      <c r="U92" s="4" t="s">
        <v>25</v>
      </c>
      <c r="V92" s="5">
        <v>23.3</v>
      </c>
      <c r="W92" s="5">
        <v>25.466999999999999</v>
      </c>
      <c r="X92" s="3" t="s">
        <v>227</v>
      </c>
      <c r="Y92" s="12">
        <f t="shared" si="14"/>
        <v>-2.166999999999998</v>
      </c>
      <c r="AA92" t="b">
        <f t="shared" si="15"/>
        <v>1</v>
      </c>
      <c r="AB92" s="19" t="s">
        <v>988</v>
      </c>
      <c r="AC92" s="19" t="s">
        <v>226</v>
      </c>
      <c r="AD92" s="29">
        <v>560.46</v>
      </c>
      <c r="AE92" s="29"/>
      <c r="AF92" s="28">
        <v>265</v>
      </c>
      <c r="AG92" s="28">
        <v>5740</v>
      </c>
      <c r="AH92" s="29"/>
      <c r="AL92" s="3">
        <v>3180</v>
      </c>
      <c r="AM92" s="37">
        <v>560.46</v>
      </c>
      <c r="AN92" s="40">
        <f t="shared" si="16"/>
        <v>146.15333333333334</v>
      </c>
      <c r="AO92" s="40">
        <f t="shared" si="17"/>
        <v>153.57364999999999</v>
      </c>
      <c r="AP92" s="37"/>
      <c r="AQ92" s="3"/>
      <c r="AR92" s="3"/>
      <c r="AS92" s="4" t="s">
        <v>25</v>
      </c>
    </row>
    <row r="93" spans="1:45" x14ac:dyDescent="0.25">
      <c r="A93" s="4"/>
      <c r="B93" s="4"/>
      <c r="C93" s="4">
        <v>343</v>
      </c>
      <c r="D93" s="4" t="s">
        <v>228</v>
      </c>
      <c r="E93" s="5">
        <v>23.481000000000002</v>
      </c>
      <c r="F93" s="5">
        <v>25.77</v>
      </c>
      <c r="G93" s="13" t="s">
        <v>24</v>
      </c>
      <c r="H93" s="5" t="s">
        <v>24</v>
      </c>
      <c r="I93" s="4" t="s">
        <v>25</v>
      </c>
      <c r="J93" s="4"/>
      <c r="K93" s="4" t="s">
        <v>51</v>
      </c>
      <c r="L93" s="4">
        <v>7</v>
      </c>
      <c r="M93" s="4" t="str">
        <f t="shared" si="12"/>
        <v>O7</v>
      </c>
      <c r="N93" s="4" t="s">
        <v>42</v>
      </c>
      <c r="O93" s="4">
        <v>151</v>
      </c>
      <c r="P93">
        <v>104</v>
      </c>
      <c r="Q93" t="s">
        <v>28</v>
      </c>
      <c r="R93" t="b">
        <f t="shared" si="13"/>
        <v>1</v>
      </c>
      <c r="S93" s="4" t="s">
        <v>228</v>
      </c>
      <c r="T93" s="3">
        <v>3181</v>
      </c>
      <c r="U93" s="4" t="s">
        <v>25</v>
      </c>
      <c r="V93" s="5">
        <v>23.481000000000002</v>
      </c>
      <c r="W93" s="5">
        <v>25.77</v>
      </c>
      <c r="X93" s="3" t="s">
        <v>229</v>
      </c>
      <c r="Y93" s="12">
        <f t="shared" si="14"/>
        <v>-2.2889999999999979</v>
      </c>
      <c r="AA93" t="b">
        <f t="shared" si="15"/>
        <v>1</v>
      </c>
      <c r="AB93" s="19" t="s">
        <v>989</v>
      </c>
      <c r="AC93" s="19" t="s">
        <v>228</v>
      </c>
      <c r="AD93" s="29">
        <v>557.52</v>
      </c>
      <c r="AE93" s="29"/>
      <c r="AF93" s="28">
        <v>166</v>
      </c>
      <c r="AG93" s="28">
        <v>3409</v>
      </c>
      <c r="AH93" s="29"/>
      <c r="AL93" s="3">
        <v>3181</v>
      </c>
      <c r="AM93" s="37">
        <v>557.52</v>
      </c>
      <c r="AN93" s="40">
        <f t="shared" si="16"/>
        <v>145.17333333333332</v>
      </c>
      <c r="AO93" s="40">
        <f t="shared" si="17"/>
        <v>152.55199999999996</v>
      </c>
      <c r="AP93" s="37"/>
      <c r="AQ93" s="3"/>
      <c r="AR93" s="3"/>
      <c r="AS93" s="4" t="s">
        <v>25</v>
      </c>
    </row>
    <row r="94" spans="1:45" x14ac:dyDescent="0.25">
      <c r="A94" s="4"/>
      <c r="B94" s="4"/>
      <c r="C94" s="4">
        <v>31</v>
      </c>
      <c r="D94" s="4" t="s">
        <v>230</v>
      </c>
      <c r="E94" s="5">
        <v>23.459</v>
      </c>
      <c r="F94" s="5">
        <v>25.75</v>
      </c>
      <c r="G94" s="13" t="s">
        <v>24</v>
      </c>
      <c r="H94" s="5" t="s">
        <v>24</v>
      </c>
      <c r="I94" s="4" t="s">
        <v>25</v>
      </c>
      <c r="J94" s="4"/>
      <c r="K94" s="4" t="s">
        <v>54</v>
      </c>
      <c r="L94" s="4">
        <v>7</v>
      </c>
      <c r="M94" s="4" t="str">
        <f t="shared" si="12"/>
        <v>B7</v>
      </c>
      <c r="N94" s="4" t="s">
        <v>27</v>
      </c>
      <c r="O94" s="4">
        <v>50</v>
      </c>
      <c r="P94">
        <v>105</v>
      </c>
      <c r="Q94" t="s">
        <v>28</v>
      </c>
      <c r="R94" t="b">
        <f t="shared" si="13"/>
        <v>1</v>
      </c>
      <c r="S94" s="4" t="s">
        <v>230</v>
      </c>
      <c r="T94" s="3">
        <v>3182</v>
      </c>
      <c r="U94" s="4" t="s">
        <v>25</v>
      </c>
      <c r="V94" s="5">
        <v>23.459</v>
      </c>
      <c r="W94" s="5">
        <v>25.75</v>
      </c>
      <c r="X94" s="3" t="s">
        <v>231</v>
      </c>
      <c r="Y94" s="12">
        <f t="shared" si="14"/>
        <v>-2.2910000000000004</v>
      </c>
      <c r="AA94" t="b">
        <f t="shared" si="15"/>
        <v>1</v>
      </c>
      <c r="AB94" s="19" t="s">
        <v>990</v>
      </c>
      <c r="AC94" s="19" t="s">
        <v>230</v>
      </c>
      <c r="AD94" s="29">
        <v>523.12</v>
      </c>
      <c r="AE94" s="29"/>
      <c r="AF94" s="28">
        <v>262</v>
      </c>
      <c r="AG94" s="28">
        <v>5118</v>
      </c>
      <c r="AH94" s="29"/>
      <c r="AL94" s="3">
        <v>3182</v>
      </c>
      <c r="AM94" s="37">
        <v>523.12</v>
      </c>
      <c r="AN94" s="40">
        <f t="shared" si="16"/>
        <v>133.70666666666668</v>
      </c>
      <c r="AO94" s="40">
        <f t="shared" si="17"/>
        <v>140.59800000000001</v>
      </c>
      <c r="AP94" s="37"/>
      <c r="AQ94" s="3"/>
      <c r="AR94" s="3"/>
      <c r="AS94" s="4" t="s">
        <v>25</v>
      </c>
    </row>
    <row r="95" spans="1:45" x14ac:dyDescent="0.25">
      <c r="A95" s="4"/>
      <c r="B95" s="4"/>
      <c r="C95" s="4">
        <v>79</v>
      </c>
      <c r="D95" s="4" t="s">
        <v>232</v>
      </c>
      <c r="E95" s="5">
        <v>22.353000000000002</v>
      </c>
      <c r="F95" s="5" t="s">
        <v>31</v>
      </c>
      <c r="G95" s="13" t="s">
        <v>24</v>
      </c>
      <c r="H95" s="5" t="s">
        <v>31</v>
      </c>
      <c r="I95" s="4" t="s">
        <v>31</v>
      </c>
      <c r="J95" s="4"/>
      <c r="K95" s="4" t="s">
        <v>57</v>
      </c>
      <c r="L95" s="4">
        <v>7</v>
      </c>
      <c r="M95" s="4" t="str">
        <f t="shared" si="12"/>
        <v>D7</v>
      </c>
      <c r="N95" s="4" t="s">
        <v>27</v>
      </c>
      <c r="O95" s="4">
        <v>52</v>
      </c>
      <c r="P95">
        <v>106</v>
      </c>
      <c r="Q95" t="s">
        <v>28</v>
      </c>
      <c r="R95" t="b">
        <f t="shared" si="13"/>
        <v>1</v>
      </c>
      <c r="S95" s="4" t="s">
        <v>232</v>
      </c>
      <c r="T95" s="3">
        <v>3183</v>
      </c>
      <c r="U95" s="4" t="s">
        <v>31</v>
      </c>
      <c r="V95" s="5">
        <v>22.353000000000002</v>
      </c>
      <c r="W95" s="5" t="s">
        <v>31</v>
      </c>
      <c r="X95" s="3" t="s">
        <v>233</v>
      </c>
      <c r="Y95" s="12" t="e">
        <f t="shared" si="14"/>
        <v>#VALUE!</v>
      </c>
      <c r="AA95" t="b">
        <f t="shared" si="15"/>
        <v>1</v>
      </c>
      <c r="AB95" s="19" t="s">
        <v>991</v>
      </c>
      <c r="AC95" s="19" t="s">
        <v>232</v>
      </c>
      <c r="AD95" s="29"/>
      <c r="AE95" s="29"/>
      <c r="AF95" s="28"/>
      <c r="AG95" s="28"/>
      <c r="AH95" s="29"/>
      <c r="AL95" s="3">
        <v>3183</v>
      </c>
      <c r="AM95" s="37"/>
      <c r="AN95" s="17"/>
      <c r="AO95" s="17"/>
      <c r="AP95" s="37"/>
      <c r="AQ95" s="3"/>
      <c r="AR95" s="3"/>
      <c r="AS95" s="4" t="s">
        <v>31</v>
      </c>
    </row>
    <row r="96" spans="1:45" x14ac:dyDescent="0.25">
      <c r="A96" s="4"/>
      <c r="B96" s="4"/>
      <c r="C96" s="4">
        <v>127</v>
      </c>
      <c r="D96" s="4" t="s">
        <v>234</v>
      </c>
      <c r="E96" s="5">
        <v>23.157</v>
      </c>
      <c r="F96" s="5">
        <v>25.173999999999999</v>
      </c>
      <c r="G96" s="13" t="s">
        <v>24</v>
      </c>
      <c r="H96" s="5" t="s">
        <v>24</v>
      </c>
      <c r="I96" s="4" t="s">
        <v>25</v>
      </c>
      <c r="J96" s="4"/>
      <c r="K96" s="4" t="s">
        <v>60</v>
      </c>
      <c r="L96" s="4">
        <v>7</v>
      </c>
      <c r="M96" s="4" t="str">
        <f t="shared" si="12"/>
        <v>F7</v>
      </c>
      <c r="N96" s="4" t="s">
        <v>27</v>
      </c>
      <c r="O96" s="4">
        <v>54</v>
      </c>
      <c r="P96">
        <v>107</v>
      </c>
      <c r="Q96" t="s">
        <v>28</v>
      </c>
      <c r="R96" t="b">
        <f t="shared" si="13"/>
        <v>1</v>
      </c>
      <c r="S96" s="4" t="s">
        <v>234</v>
      </c>
      <c r="T96" s="3">
        <v>3184</v>
      </c>
      <c r="U96" s="4" t="s">
        <v>25</v>
      </c>
      <c r="V96" s="5">
        <v>23.157</v>
      </c>
      <c r="W96" s="5">
        <v>25.173999999999999</v>
      </c>
      <c r="X96" s="3" t="s">
        <v>235</v>
      </c>
      <c r="Y96" s="12">
        <f t="shared" si="14"/>
        <v>-2.0169999999999995</v>
      </c>
      <c r="AA96" t="b">
        <f t="shared" si="15"/>
        <v>1</v>
      </c>
      <c r="AB96" s="19" t="s">
        <v>992</v>
      </c>
      <c r="AC96" s="19" t="s">
        <v>234</v>
      </c>
      <c r="AD96" s="29">
        <v>566.79999999999995</v>
      </c>
      <c r="AE96" s="29"/>
      <c r="AF96" s="28">
        <v>264</v>
      </c>
      <c r="AG96" s="28">
        <v>5693</v>
      </c>
      <c r="AH96" s="29"/>
      <c r="AL96" s="3">
        <v>3184</v>
      </c>
      <c r="AM96" s="37">
        <v>566.79999999999995</v>
      </c>
      <c r="AN96" s="40">
        <f>(AM96-122)/3</f>
        <v>148.26666666666665</v>
      </c>
      <c r="AO96" s="40">
        <f>AN96*1.0425+1.2088</f>
        <v>155.77679999999998</v>
      </c>
      <c r="AP96" s="37"/>
      <c r="AQ96" s="3"/>
      <c r="AR96" s="3"/>
      <c r="AS96" s="4" t="s">
        <v>25</v>
      </c>
    </row>
    <row r="97" spans="1:45" x14ac:dyDescent="0.25">
      <c r="A97" s="4"/>
      <c r="B97" s="4"/>
      <c r="C97" s="4">
        <v>175</v>
      </c>
      <c r="D97" s="4" t="s">
        <v>236</v>
      </c>
      <c r="E97" s="5">
        <v>34.225999999999999</v>
      </c>
      <c r="F97" s="5">
        <v>24.613</v>
      </c>
      <c r="G97" s="13" t="s">
        <v>19</v>
      </c>
      <c r="H97" s="5" t="s">
        <v>24</v>
      </c>
      <c r="I97" s="4" t="s">
        <v>63</v>
      </c>
      <c r="J97" s="4"/>
      <c r="K97" s="4" t="s">
        <v>64</v>
      </c>
      <c r="L97" s="4">
        <v>7</v>
      </c>
      <c r="M97" s="4" t="str">
        <f t="shared" si="12"/>
        <v>H7</v>
      </c>
      <c r="N97" s="4" t="s">
        <v>27</v>
      </c>
      <c r="O97" s="4">
        <v>56</v>
      </c>
      <c r="P97">
        <v>108</v>
      </c>
      <c r="Q97" t="s">
        <v>28</v>
      </c>
      <c r="R97" t="b">
        <f t="shared" si="13"/>
        <v>1</v>
      </c>
      <c r="S97" s="4" t="s">
        <v>236</v>
      </c>
      <c r="T97" s="3">
        <v>3185</v>
      </c>
      <c r="U97" s="4" t="s">
        <v>63</v>
      </c>
      <c r="V97" s="5">
        <v>34.225999999999999</v>
      </c>
      <c r="W97" s="5">
        <v>24.613</v>
      </c>
      <c r="X97" s="3" t="s">
        <v>237</v>
      </c>
      <c r="Y97" s="12">
        <f t="shared" si="14"/>
        <v>9.6129999999999995</v>
      </c>
      <c r="AA97" t="b">
        <f t="shared" si="15"/>
        <v>1</v>
      </c>
      <c r="AB97" s="19" t="s">
        <v>993</v>
      </c>
      <c r="AC97" s="19" t="s">
        <v>236</v>
      </c>
      <c r="AD97" s="29">
        <v>540.76</v>
      </c>
      <c r="AE97" s="29">
        <v>569.71</v>
      </c>
      <c r="AF97" s="28">
        <v>302</v>
      </c>
      <c r="AG97" s="28">
        <v>5660</v>
      </c>
      <c r="AH97" s="29"/>
      <c r="AL97" s="3">
        <v>3185</v>
      </c>
      <c r="AM97" s="37">
        <v>540.76</v>
      </c>
      <c r="AN97" s="40">
        <f>(AM97-122)/3</f>
        <v>139.58666666666667</v>
      </c>
      <c r="AO97" s="40">
        <f>AN97*1.0425+1.2088</f>
        <v>146.72790000000001</v>
      </c>
      <c r="AP97" s="37">
        <v>569.71</v>
      </c>
      <c r="AQ97" s="40">
        <f>(AP97-122)/3</f>
        <v>149.23666666666668</v>
      </c>
      <c r="AR97" s="40">
        <f>AQ97*1.0425+1.2088</f>
        <v>156.788025</v>
      </c>
      <c r="AS97" s="4" t="s">
        <v>63</v>
      </c>
    </row>
    <row r="98" spans="1:45" x14ac:dyDescent="0.25">
      <c r="A98" s="4"/>
      <c r="B98" s="4"/>
      <c r="C98" s="4">
        <v>223</v>
      </c>
      <c r="D98" s="4" t="s">
        <v>238</v>
      </c>
      <c r="E98" s="5">
        <v>31.963000000000001</v>
      </c>
      <c r="F98" s="5">
        <v>24.873000000000001</v>
      </c>
      <c r="G98" s="13" t="s">
        <v>24</v>
      </c>
      <c r="H98" s="5" t="s">
        <v>24</v>
      </c>
      <c r="I98" s="4" t="s">
        <v>25</v>
      </c>
      <c r="J98" s="4"/>
      <c r="K98" s="4" t="s">
        <v>67</v>
      </c>
      <c r="L98" s="4">
        <v>7</v>
      </c>
      <c r="M98" s="4" t="str">
        <f t="shared" si="12"/>
        <v>J7</v>
      </c>
      <c r="N98" s="4" t="s">
        <v>42</v>
      </c>
      <c r="O98" s="4">
        <v>146</v>
      </c>
      <c r="P98">
        <v>109</v>
      </c>
      <c r="Q98" t="s">
        <v>28</v>
      </c>
      <c r="R98" t="b">
        <f t="shared" si="13"/>
        <v>1</v>
      </c>
      <c r="S98" s="4" t="s">
        <v>238</v>
      </c>
      <c r="T98" s="3">
        <v>3186</v>
      </c>
      <c r="U98" s="4" t="s">
        <v>25</v>
      </c>
      <c r="V98" s="5">
        <v>31.963000000000001</v>
      </c>
      <c r="W98" s="5">
        <v>24.873000000000001</v>
      </c>
      <c r="X98" s="3" t="s">
        <v>239</v>
      </c>
      <c r="Y98" s="12">
        <f t="shared" si="14"/>
        <v>7.09</v>
      </c>
      <c r="Z98" s="15" t="s">
        <v>19</v>
      </c>
      <c r="AA98" t="b">
        <f t="shared" si="15"/>
        <v>1</v>
      </c>
      <c r="AB98" s="19" t="s">
        <v>994</v>
      </c>
      <c r="AC98" s="19" t="s">
        <v>238</v>
      </c>
      <c r="AD98" s="29">
        <v>555.13</v>
      </c>
      <c r="AE98" s="29" t="s">
        <v>897</v>
      </c>
      <c r="AF98" s="28">
        <v>236</v>
      </c>
      <c r="AG98" s="28">
        <v>4675</v>
      </c>
      <c r="AH98" s="29"/>
      <c r="AL98" s="3">
        <v>3186</v>
      </c>
      <c r="AM98" s="37">
        <v>555.13</v>
      </c>
      <c r="AN98" s="40">
        <f>(AM98-122)/3</f>
        <v>144.37666666666667</v>
      </c>
      <c r="AO98" s="40">
        <f>AN98*1.0425+1.2088</f>
        <v>151.721475</v>
      </c>
      <c r="AP98" s="37"/>
      <c r="AQ98" s="3"/>
      <c r="AR98" s="3"/>
      <c r="AS98" s="4" t="s">
        <v>25</v>
      </c>
    </row>
    <row r="99" spans="1:45" x14ac:dyDescent="0.25">
      <c r="A99" s="4"/>
      <c r="B99" s="4"/>
      <c r="C99" s="4">
        <v>271</v>
      </c>
      <c r="D99" s="4" t="s">
        <v>240</v>
      </c>
      <c r="E99" s="5">
        <v>33.786000000000001</v>
      </c>
      <c r="F99" s="5">
        <v>24.623999999999999</v>
      </c>
      <c r="G99" s="13" t="s">
        <v>19</v>
      </c>
      <c r="H99" s="5" t="s">
        <v>24</v>
      </c>
      <c r="I99" s="4" t="s">
        <v>63</v>
      </c>
      <c r="J99" s="4"/>
      <c r="K99" s="4" t="s">
        <v>70</v>
      </c>
      <c r="L99" s="4">
        <v>7</v>
      </c>
      <c r="M99" s="4" t="str">
        <f t="shared" si="12"/>
        <v>L7</v>
      </c>
      <c r="N99" s="4" t="s">
        <v>42</v>
      </c>
      <c r="O99" s="4">
        <v>148</v>
      </c>
      <c r="P99">
        <v>110</v>
      </c>
      <c r="Q99" t="s">
        <v>28</v>
      </c>
      <c r="R99" t="b">
        <f t="shared" si="13"/>
        <v>1</v>
      </c>
      <c r="S99" s="4" t="s">
        <v>240</v>
      </c>
      <c r="T99" s="3">
        <v>3187</v>
      </c>
      <c r="U99" s="4" t="s">
        <v>63</v>
      </c>
      <c r="V99" s="5">
        <v>33.786000000000001</v>
      </c>
      <c r="W99" s="5">
        <v>24.623999999999999</v>
      </c>
      <c r="X99" s="3" t="s">
        <v>241</v>
      </c>
      <c r="Y99" s="12">
        <f t="shared" si="14"/>
        <v>9.1620000000000026</v>
      </c>
      <c r="AA99" t="b">
        <f t="shared" si="15"/>
        <v>1</v>
      </c>
      <c r="AB99" s="19" t="s">
        <v>995</v>
      </c>
      <c r="AC99" s="19" t="s">
        <v>240</v>
      </c>
      <c r="AD99" s="29">
        <v>560.85</v>
      </c>
      <c r="AE99" s="29"/>
      <c r="AF99" s="28">
        <v>287</v>
      </c>
      <c r="AG99" s="28">
        <v>6088</v>
      </c>
      <c r="AH99" s="29"/>
      <c r="AL99" s="3">
        <v>3187</v>
      </c>
      <c r="AM99" s="37">
        <v>560.85</v>
      </c>
      <c r="AN99" s="40">
        <f>(AM99-122)/3</f>
        <v>146.28333333333333</v>
      </c>
      <c r="AO99" s="40">
        <f>AN99*1.0425+1.2088</f>
        <v>153.70917499999999</v>
      </c>
      <c r="AP99" s="37"/>
      <c r="AQ99" s="3"/>
      <c r="AR99" s="3"/>
      <c r="AS99" s="4" t="s">
        <v>63</v>
      </c>
    </row>
    <row r="100" spans="1:45" x14ac:dyDescent="0.25">
      <c r="A100" s="4"/>
      <c r="B100" s="4"/>
      <c r="C100" s="4">
        <v>319</v>
      </c>
      <c r="D100" s="4" t="s">
        <v>242</v>
      </c>
      <c r="E100" s="5">
        <v>38.499000000000002</v>
      </c>
      <c r="F100" s="5">
        <v>25.335000000000001</v>
      </c>
      <c r="G100" s="13" t="s">
        <v>19</v>
      </c>
      <c r="H100" s="5" t="s">
        <v>24</v>
      </c>
      <c r="I100" s="4" t="s">
        <v>63</v>
      </c>
      <c r="J100" s="4"/>
      <c r="K100" s="4" t="s">
        <v>73</v>
      </c>
      <c r="L100" s="4">
        <v>7</v>
      </c>
      <c r="M100" s="4" t="str">
        <f t="shared" si="12"/>
        <v>N7</v>
      </c>
      <c r="N100" s="4" t="s">
        <v>42</v>
      </c>
      <c r="O100" s="4">
        <v>150</v>
      </c>
      <c r="P100">
        <v>111</v>
      </c>
      <c r="Q100" t="s">
        <v>28</v>
      </c>
      <c r="R100" t="b">
        <f t="shared" si="13"/>
        <v>1</v>
      </c>
      <c r="S100" s="4" t="s">
        <v>242</v>
      </c>
      <c r="T100" s="3">
        <v>3188</v>
      </c>
      <c r="U100" s="4" t="s">
        <v>63</v>
      </c>
      <c r="V100" s="5">
        <v>38.499000000000002</v>
      </c>
      <c r="W100" s="5">
        <v>25.335000000000001</v>
      </c>
      <c r="X100" s="3" t="s">
        <v>243</v>
      </c>
      <c r="Y100" s="12">
        <f t="shared" si="14"/>
        <v>13.164000000000001</v>
      </c>
      <c r="AA100" t="b">
        <f t="shared" si="15"/>
        <v>1</v>
      </c>
      <c r="AB100" s="19" t="s">
        <v>996</v>
      </c>
      <c r="AC100" s="19" t="s">
        <v>242</v>
      </c>
      <c r="AD100" s="29">
        <v>563.67999999999995</v>
      </c>
      <c r="AE100" s="29"/>
      <c r="AF100" s="28">
        <v>384</v>
      </c>
      <c r="AG100" s="28">
        <v>8401</v>
      </c>
      <c r="AH100" s="29"/>
      <c r="AL100" s="3">
        <v>3188</v>
      </c>
      <c r="AM100" s="37">
        <v>563.67999999999995</v>
      </c>
      <c r="AN100" s="40">
        <f>(AM100-122)/3</f>
        <v>147.22666666666666</v>
      </c>
      <c r="AO100" s="40">
        <f>AN100*1.0425+1.2088</f>
        <v>154.6926</v>
      </c>
      <c r="AP100" s="37"/>
      <c r="AQ100" s="3"/>
      <c r="AR100" s="3"/>
      <c r="AS100" s="4" t="s">
        <v>63</v>
      </c>
    </row>
    <row r="101" spans="1:45" x14ac:dyDescent="0.25">
      <c r="A101" s="4"/>
      <c r="B101" s="4"/>
      <c r="C101" s="4">
        <v>367</v>
      </c>
      <c r="D101" s="4" t="s">
        <v>244</v>
      </c>
      <c r="E101" s="5">
        <v>23.433</v>
      </c>
      <c r="F101" s="5" t="s">
        <v>31</v>
      </c>
      <c r="G101" s="13" t="s">
        <v>24</v>
      </c>
      <c r="H101" s="5" t="s">
        <v>31</v>
      </c>
      <c r="I101" s="4" t="s">
        <v>31</v>
      </c>
      <c r="J101" s="4"/>
      <c r="K101" s="4" t="s">
        <v>76</v>
      </c>
      <c r="L101" s="4">
        <v>7</v>
      </c>
      <c r="M101" s="4" t="str">
        <f t="shared" si="12"/>
        <v>P7</v>
      </c>
      <c r="N101" s="4" t="s">
        <v>42</v>
      </c>
      <c r="O101" s="4">
        <v>152</v>
      </c>
      <c r="P101">
        <v>112</v>
      </c>
      <c r="Q101" t="s">
        <v>28</v>
      </c>
      <c r="R101" t="b">
        <f t="shared" si="13"/>
        <v>1</v>
      </c>
      <c r="S101" s="4" t="s">
        <v>244</v>
      </c>
      <c r="T101" s="3">
        <v>3189</v>
      </c>
      <c r="U101" s="4" t="s">
        <v>31</v>
      </c>
      <c r="V101" s="5">
        <v>23.433</v>
      </c>
      <c r="W101" s="5" t="s">
        <v>31</v>
      </c>
      <c r="X101" s="3" t="s">
        <v>245</v>
      </c>
      <c r="Y101" s="12" t="e">
        <f t="shared" si="14"/>
        <v>#VALUE!</v>
      </c>
      <c r="AA101" t="b">
        <f t="shared" si="15"/>
        <v>1</v>
      </c>
      <c r="AB101" s="19" t="s">
        <v>997</v>
      </c>
      <c r="AC101" s="19" t="s">
        <v>244</v>
      </c>
      <c r="AD101" s="29"/>
      <c r="AE101" s="29"/>
      <c r="AF101" s="28"/>
      <c r="AG101" s="28"/>
      <c r="AH101" s="29"/>
      <c r="AL101" s="3">
        <v>3189</v>
      </c>
      <c r="AM101" s="37"/>
      <c r="AN101" s="17"/>
      <c r="AO101" s="17"/>
      <c r="AP101" s="37"/>
      <c r="AQ101" s="3"/>
      <c r="AR101" s="3"/>
      <c r="AS101" s="4" t="s">
        <v>31</v>
      </c>
    </row>
    <row r="102" spans="1:45" x14ac:dyDescent="0.25">
      <c r="A102" s="4"/>
      <c r="B102" s="4"/>
      <c r="C102" s="4">
        <v>8</v>
      </c>
      <c r="D102" s="4" t="s">
        <v>246</v>
      </c>
      <c r="E102" s="5">
        <v>22.684000000000001</v>
      </c>
      <c r="F102" s="5" t="s">
        <v>31</v>
      </c>
      <c r="G102" s="13" t="s">
        <v>24</v>
      </c>
      <c r="H102" s="5" t="s">
        <v>31</v>
      </c>
      <c r="I102" s="4" t="s">
        <v>31</v>
      </c>
      <c r="J102" s="4"/>
      <c r="K102" s="4" t="s">
        <v>26</v>
      </c>
      <c r="L102" s="4">
        <v>8</v>
      </c>
      <c r="M102" s="4" t="str">
        <f t="shared" si="12"/>
        <v>A8</v>
      </c>
      <c r="N102" s="4" t="s">
        <v>27</v>
      </c>
      <c r="O102" s="4">
        <v>57</v>
      </c>
      <c r="P102">
        <v>113</v>
      </c>
      <c r="Q102" t="s">
        <v>28</v>
      </c>
      <c r="R102" t="b">
        <f t="shared" si="13"/>
        <v>1</v>
      </c>
      <c r="S102" s="4" t="s">
        <v>246</v>
      </c>
      <c r="T102" s="3">
        <v>3190</v>
      </c>
      <c r="U102" s="4" t="s">
        <v>31</v>
      </c>
      <c r="V102" s="5">
        <v>22.684000000000001</v>
      </c>
      <c r="W102" s="5" t="s">
        <v>31</v>
      </c>
      <c r="X102" s="3" t="s">
        <v>247</v>
      </c>
      <c r="Y102" s="12" t="e">
        <f t="shared" si="14"/>
        <v>#VALUE!</v>
      </c>
      <c r="AA102" t="b">
        <f t="shared" si="15"/>
        <v>1</v>
      </c>
      <c r="AB102" s="19" t="s">
        <v>998</v>
      </c>
      <c r="AC102" s="19" t="s">
        <v>246</v>
      </c>
      <c r="AD102" s="29"/>
      <c r="AE102" s="29"/>
      <c r="AF102" s="28"/>
      <c r="AG102" s="28"/>
      <c r="AH102" s="29"/>
      <c r="AL102" s="3">
        <v>3190</v>
      </c>
      <c r="AM102" s="37"/>
      <c r="AN102" s="17"/>
      <c r="AO102" s="17"/>
      <c r="AP102" s="37"/>
      <c r="AQ102" s="3"/>
      <c r="AR102" s="3"/>
      <c r="AS102" s="4" t="s">
        <v>31</v>
      </c>
    </row>
    <row r="103" spans="1:45" x14ac:dyDescent="0.25">
      <c r="A103" s="4"/>
      <c r="B103" s="4"/>
      <c r="C103" s="4">
        <v>56</v>
      </c>
      <c r="D103" s="4" t="s">
        <v>248</v>
      </c>
      <c r="E103" s="5">
        <v>23.821999999999999</v>
      </c>
      <c r="F103" s="5">
        <v>25.832000000000001</v>
      </c>
      <c r="G103" s="13" t="s">
        <v>24</v>
      </c>
      <c r="H103" s="5" t="s">
        <v>24</v>
      </c>
      <c r="I103" s="4" t="s">
        <v>25</v>
      </c>
      <c r="J103" s="4"/>
      <c r="K103" s="4" t="s">
        <v>32</v>
      </c>
      <c r="L103" s="4">
        <v>8</v>
      </c>
      <c r="M103" s="4" t="str">
        <f t="shared" si="12"/>
        <v>C8</v>
      </c>
      <c r="N103" s="4" t="s">
        <v>27</v>
      </c>
      <c r="O103" s="4">
        <v>59</v>
      </c>
      <c r="P103">
        <v>114</v>
      </c>
      <c r="Q103" t="s">
        <v>28</v>
      </c>
      <c r="R103" t="b">
        <f t="shared" si="13"/>
        <v>1</v>
      </c>
      <c r="S103" s="4" t="s">
        <v>248</v>
      </c>
      <c r="T103" s="3">
        <v>3191</v>
      </c>
      <c r="U103" s="4" t="s">
        <v>25</v>
      </c>
      <c r="V103" s="5">
        <v>23.821999999999999</v>
      </c>
      <c r="W103" s="5">
        <v>25.832000000000001</v>
      </c>
      <c r="X103" s="3" t="s">
        <v>249</v>
      </c>
      <c r="Y103" s="12">
        <f t="shared" si="14"/>
        <v>-2.0100000000000016</v>
      </c>
      <c r="AA103" t="b">
        <f t="shared" si="15"/>
        <v>1</v>
      </c>
      <c r="AB103" s="19" t="s">
        <v>999</v>
      </c>
      <c r="AC103" s="19" t="s">
        <v>248</v>
      </c>
      <c r="AD103" s="29">
        <v>566.86</v>
      </c>
      <c r="AE103" s="29"/>
      <c r="AF103" s="28">
        <v>205</v>
      </c>
      <c r="AG103" s="28">
        <v>4100</v>
      </c>
      <c r="AH103" s="29"/>
      <c r="AL103" s="3">
        <v>3191</v>
      </c>
      <c r="AM103" s="37">
        <v>566.86</v>
      </c>
      <c r="AN103" s="40">
        <f>(AM103-122)/3</f>
        <v>148.28666666666666</v>
      </c>
      <c r="AO103" s="40">
        <f>AN103*1.0425+1.2088</f>
        <v>155.79764999999998</v>
      </c>
      <c r="AP103" s="37"/>
      <c r="AQ103" s="3"/>
      <c r="AR103" s="3"/>
      <c r="AS103" s="4" t="s">
        <v>25</v>
      </c>
    </row>
    <row r="104" spans="1:45" x14ac:dyDescent="0.25">
      <c r="A104" s="4"/>
      <c r="B104" s="4"/>
      <c r="C104" s="4">
        <v>104</v>
      </c>
      <c r="D104" s="4" t="s">
        <v>250</v>
      </c>
      <c r="E104" s="5">
        <v>23.829000000000001</v>
      </c>
      <c r="F104" s="5">
        <v>25.780999999999999</v>
      </c>
      <c r="G104" s="13" t="s">
        <v>24</v>
      </c>
      <c r="H104" s="5" t="s">
        <v>24</v>
      </c>
      <c r="I104" s="4" t="s">
        <v>25</v>
      </c>
      <c r="J104" s="4"/>
      <c r="K104" s="4" t="s">
        <v>35</v>
      </c>
      <c r="L104" s="4">
        <v>8</v>
      </c>
      <c r="M104" s="4" t="str">
        <f t="shared" si="12"/>
        <v>E8</v>
      </c>
      <c r="N104" s="4" t="s">
        <v>27</v>
      </c>
      <c r="O104" s="4">
        <v>61</v>
      </c>
      <c r="P104">
        <v>115</v>
      </c>
      <c r="Q104" t="s">
        <v>28</v>
      </c>
      <c r="R104" t="b">
        <f t="shared" si="13"/>
        <v>1</v>
      </c>
      <c r="S104" s="4" t="s">
        <v>250</v>
      </c>
      <c r="T104" s="3">
        <v>3192</v>
      </c>
      <c r="U104" s="4" t="s">
        <v>25</v>
      </c>
      <c r="V104" s="5">
        <v>23.829000000000001</v>
      </c>
      <c r="W104" s="5">
        <v>25.780999999999999</v>
      </c>
      <c r="X104" s="3" t="s">
        <v>251</v>
      </c>
      <c r="Y104" s="12">
        <f t="shared" si="14"/>
        <v>-1.9519999999999982</v>
      </c>
      <c r="AA104" t="b">
        <f t="shared" si="15"/>
        <v>1</v>
      </c>
      <c r="AB104" s="19" t="s">
        <v>1000</v>
      </c>
      <c r="AC104" s="19" t="s">
        <v>250</v>
      </c>
      <c r="AD104" s="29">
        <v>555.03</v>
      </c>
      <c r="AE104" s="29"/>
      <c r="AF104" s="28">
        <v>247</v>
      </c>
      <c r="AG104" s="28">
        <v>5184</v>
      </c>
      <c r="AH104" s="29"/>
      <c r="AL104" s="3">
        <v>3192</v>
      </c>
      <c r="AM104" s="37">
        <v>555.03</v>
      </c>
      <c r="AN104" s="40">
        <f>(AM104-122)/3</f>
        <v>144.34333333333333</v>
      </c>
      <c r="AO104" s="40">
        <f>AN104*1.0425+1.2088</f>
        <v>151.686725</v>
      </c>
      <c r="AP104" s="37"/>
      <c r="AQ104" s="3"/>
      <c r="AR104" s="3"/>
      <c r="AS104" s="4" t="s">
        <v>25</v>
      </c>
    </row>
    <row r="105" spans="1:45" x14ac:dyDescent="0.25">
      <c r="A105" s="4"/>
      <c r="B105" s="4"/>
      <c r="C105" s="4">
        <v>152</v>
      </c>
      <c r="D105" s="4" t="s">
        <v>252</v>
      </c>
      <c r="E105" s="5">
        <v>23.363</v>
      </c>
      <c r="F105" s="5">
        <v>33.723999999999997</v>
      </c>
      <c r="G105" s="13" t="s">
        <v>24</v>
      </c>
      <c r="H105" s="5" t="s">
        <v>19</v>
      </c>
      <c r="I105" s="5" t="s">
        <v>31</v>
      </c>
      <c r="J105" s="4"/>
      <c r="K105" s="4" t="s">
        <v>38</v>
      </c>
      <c r="L105" s="4">
        <v>8</v>
      </c>
      <c r="M105" s="4" t="str">
        <f t="shared" si="12"/>
        <v>G8</v>
      </c>
      <c r="N105" s="4" t="s">
        <v>27</v>
      </c>
      <c r="O105" s="4">
        <v>63</v>
      </c>
      <c r="P105">
        <v>116</v>
      </c>
      <c r="Q105" t="s">
        <v>28</v>
      </c>
      <c r="R105" t="b">
        <f t="shared" si="13"/>
        <v>1</v>
      </c>
      <c r="S105" s="4" t="s">
        <v>252</v>
      </c>
      <c r="T105" s="3">
        <v>3193</v>
      </c>
      <c r="U105" s="5" t="s">
        <v>31</v>
      </c>
      <c r="V105" s="5">
        <v>23.363</v>
      </c>
      <c r="W105" s="5">
        <v>33.723999999999997</v>
      </c>
      <c r="X105" s="3" t="s">
        <v>253</v>
      </c>
      <c r="Y105" s="12">
        <f t="shared" si="14"/>
        <v>-10.360999999999997</v>
      </c>
      <c r="AA105" t="b">
        <f t="shared" si="15"/>
        <v>1</v>
      </c>
      <c r="AB105" s="19" t="s">
        <v>1001</v>
      </c>
      <c r="AC105" s="19" t="s">
        <v>252</v>
      </c>
      <c r="AD105" s="29"/>
      <c r="AE105" s="29"/>
      <c r="AF105" s="28"/>
      <c r="AG105" s="28"/>
      <c r="AH105" s="29"/>
      <c r="AL105" s="3">
        <v>3193</v>
      </c>
      <c r="AM105" s="37"/>
      <c r="AN105" s="17"/>
      <c r="AO105" s="17"/>
      <c r="AP105" s="37"/>
      <c r="AQ105" s="3"/>
      <c r="AR105" s="3"/>
      <c r="AS105" s="5" t="s">
        <v>31</v>
      </c>
    </row>
    <row r="106" spans="1:45" x14ac:dyDescent="0.25">
      <c r="A106" s="4"/>
      <c r="B106" s="4"/>
      <c r="C106" s="4">
        <v>200</v>
      </c>
      <c r="D106" s="4" t="s">
        <v>254</v>
      </c>
      <c r="E106" s="5">
        <v>24.297000000000001</v>
      </c>
      <c r="F106" s="5">
        <v>26.443999999999999</v>
      </c>
      <c r="G106" s="13" t="s">
        <v>24</v>
      </c>
      <c r="H106" s="5" t="s">
        <v>24</v>
      </c>
      <c r="I106" s="4" t="s">
        <v>25</v>
      </c>
      <c r="J106" s="4"/>
      <c r="K106" s="4" t="s">
        <v>41</v>
      </c>
      <c r="L106" s="4">
        <v>8</v>
      </c>
      <c r="M106" s="4" t="str">
        <f t="shared" si="12"/>
        <v>I8</v>
      </c>
      <c r="N106" s="4" t="s">
        <v>42</v>
      </c>
      <c r="O106" s="4">
        <v>153</v>
      </c>
      <c r="P106">
        <v>117</v>
      </c>
      <c r="Q106" t="s">
        <v>28</v>
      </c>
      <c r="R106" t="b">
        <f t="shared" si="13"/>
        <v>1</v>
      </c>
      <c r="S106" s="4" t="s">
        <v>254</v>
      </c>
      <c r="T106" s="3">
        <v>3194</v>
      </c>
      <c r="U106" s="4" t="s">
        <v>25</v>
      </c>
      <c r="V106" s="5">
        <v>24.297000000000001</v>
      </c>
      <c r="W106" s="5">
        <v>26.443999999999999</v>
      </c>
      <c r="X106" s="3" t="s">
        <v>255</v>
      </c>
      <c r="Y106" s="12">
        <f t="shared" si="14"/>
        <v>-2.1469999999999985</v>
      </c>
      <c r="AA106" t="b">
        <f t="shared" si="15"/>
        <v>1</v>
      </c>
      <c r="AB106" s="19" t="s">
        <v>1002</v>
      </c>
      <c r="AC106" s="19" t="s">
        <v>254</v>
      </c>
      <c r="AD106" s="29">
        <v>537.74</v>
      </c>
      <c r="AE106" s="29"/>
      <c r="AF106" s="28">
        <v>287</v>
      </c>
      <c r="AG106" s="28">
        <v>5851</v>
      </c>
      <c r="AH106" s="29"/>
      <c r="AL106" s="3">
        <v>3194</v>
      </c>
      <c r="AM106" s="37">
        <v>537.74</v>
      </c>
      <c r="AN106" s="40">
        <f>(AM106-122)/3</f>
        <v>138.58000000000001</v>
      </c>
      <c r="AO106" s="40">
        <f>AN106*1.0425+1.2088</f>
        <v>145.67845</v>
      </c>
      <c r="AP106" s="37"/>
      <c r="AQ106" s="3"/>
      <c r="AR106" s="3"/>
      <c r="AS106" s="4" t="s">
        <v>25</v>
      </c>
    </row>
    <row r="107" spans="1:45" x14ac:dyDescent="0.25">
      <c r="A107" s="4"/>
      <c r="B107" s="4"/>
      <c r="C107" s="4">
        <v>248</v>
      </c>
      <c r="D107" s="4" t="s">
        <v>256</v>
      </c>
      <c r="E107" s="5">
        <v>23.283000000000001</v>
      </c>
      <c r="F107" s="5">
        <v>33.414000000000001</v>
      </c>
      <c r="G107" s="13" t="s">
        <v>24</v>
      </c>
      <c r="H107" s="5" t="s">
        <v>19</v>
      </c>
      <c r="I107" s="5" t="s">
        <v>31</v>
      </c>
      <c r="J107" s="4"/>
      <c r="K107" s="4" t="s">
        <v>45</v>
      </c>
      <c r="L107" s="4">
        <v>8</v>
      </c>
      <c r="M107" s="4" t="str">
        <f t="shared" si="12"/>
        <v>K8</v>
      </c>
      <c r="N107" s="4" t="s">
        <v>42</v>
      </c>
      <c r="O107" s="4">
        <v>155</v>
      </c>
      <c r="P107">
        <v>118</v>
      </c>
      <c r="Q107" t="s">
        <v>28</v>
      </c>
      <c r="R107" t="b">
        <f t="shared" si="13"/>
        <v>1</v>
      </c>
      <c r="S107" s="4" t="s">
        <v>256</v>
      </c>
      <c r="T107" s="3">
        <v>3195</v>
      </c>
      <c r="U107" s="5" t="s">
        <v>31</v>
      </c>
      <c r="V107" s="5">
        <v>23.283000000000001</v>
      </c>
      <c r="W107" s="5">
        <v>33.414000000000001</v>
      </c>
      <c r="X107" s="3" t="s">
        <v>257</v>
      </c>
      <c r="Y107" s="12">
        <f t="shared" si="14"/>
        <v>-10.131</v>
      </c>
      <c r="AA107" t="b">
        <f t="shared" si="15"/>
        <v>1</v>
      </c>
      <c r="AB107" s="19" t="s">
        <v>1003</v>
      </c>
      <c r="AC107" s="19" t="s">
        <v>256</v>
      </c>
      <c r="AD107" s="29"/>
      <c r="AE107" s="29"/>
      <c r="AF107" s="28"/>
      <c r="AG107" s="28"/>
      <c r="AH107" s="29"/>
      <c r="AL107" s="3">
        <v>3195</v>
      </c>
      <c r="AM107" s="37"/>
      <c r="AN107" s="17"/>
      <c r="AO107" s="17"/>
      <c r="AP107" s="37"/>
      <c r="AQ107" s="3"/>
      <c r="AR107" s="3"/>
      <c r="AS107" s="5" t="s">
        <v>31</v>
      </c>
    </row>
    <row r="108" spans="1:45" x14ac:dyDescent="0.25">
      <c r="A108" s="4"/>
      <c r="B108" s="4"/>
      <c r="C108" s="4">
        <v>296</v>
      </c>
      <c r="D108" s="4" t="s">
        <v>258</v>
      </c>
      <c r="E108" s="5">
        <v>22.962</v>
      </c>
      <c r="F108" s="5">
        <v>36.493000000000002</v>
      </c>
      <c r="G108" s="13" t="s">
        <v>24</v>
      </c>
      <c r="H108" s="5" t="s">
        <v>19</v>
      </c>
      <c r="I108" s="5" t="s">
        <v>31</v>
      </c>
      <c r="J108" s="4"/>
      <c r="K108" s="4" t="s">
        <v>48</v>
      </c>
      <c r="L108" s="4">
        <v>8</v>
      </c>
      <c r="M108" s="4" t="str">
        <f t="shared" si="12"/>
        <v>M8</v>
      </c>
      <c r="N108" s="4" t="s">
        <v>42</v>
      </c>
      <c r="O108" s="4">
        <v>157</v>
      </c>
      <c r="P108">
        <v>119</v>
      </c>
      <c r="Q108" t="s">
        <v>28</v>
      </c>
      <c r="R108" t="b">
        <f t="shared" si="13"/>
        <v>1</v>
      </c>
      <c r="S108" s="4" t="s">
        <v>258</v>
      </c>
      <c r="T108" s="3">
        <v>3196</v>
      </c>
      <c r="U108" s="5" t="s">
        <v>31</v>
      </c>
      <c r="V108" s="5">
        <v>22.962</v>
      </c>
      <c r="W108" s="5">
        <v>36.493000000000002</v>
      </c>
      <c r="X108" s="3" t="s">
        <v>259</v>
      </c>
      <c r="Y108" s="12">
        <f t="shared" si="14"/>
        <v>-13.531000000000002</v>
      </c>
      <c r="AA108" t="b">
        <f t="shared" si="15"/>
        <v>1</v>
      </c>
      <c r="AB108" s="19" t="s">
        <v>1004</v>
      </c>
      <c r="AC108" s="19" t="s">
        <v>258</v>
      </c>
      <c r="AD108" s="29"/>
      <c r="AE108" s="29"/>
      <c r="AF108" s="28"/>
      <c r="AG108" s="28"/>
      <c r="AH108" s="29"/>
      <c r="AL108" s="3">
        <v>3196</v>
      </c>
      <c r="AM108" s="37"/>
      <c r="AN108" s="17"/>
      <c r="AO108" s="17"/>
      <c r="AP108" s="37"/>
      <c r="AQ108" s="3"/>
      <c r="AR108" s="3"/>
      <c r="AS108" s="5" t="s">
        <v>31</v>
      </c>
    </row>
    <row r="109" spans="1:45" x14ac:dyDescent="0.25">
      <c r="A109" s="4"/>
      <c r="B109" s="4"/>
      <c r="C109" s="4">
        <v>344</v>
      </c>
      <c r="D109" s="4" t="s">
        <v>260</v>
      </c>
      <c r="E109" s="5">
        <v>22.99</v>
      </c>
      <c r="F109" s="5" t="s">
        <v>31</v>
      </c>
      <c r="G109" s="13" t="s">
        <v>24</v>
      </c>
      <c r="H109" s="5" t="s">
        <v>31</v>
      </c>
      <c r="I109" s="4" t="s">
        <v>31</v>
      </c>
      <c r="J109" s="4"/>
      <c r="K109" s="4" t="s">
        <v>51</v>
      </c>
      <c r="L109" s="4">
        <v>8</v>
      </c>
      <c r="M109" s="4" t="str">
        <f t="shared" si="12"/>
        <v>O8</v>
      </c>
      <c r="N109" s="4" t="s">
        <v>42</v>
      </c>
      <c r="O109" s="4">
        <v>159</v>
      </c>
      <c r="P109">
        <v>120</v>
      </c>
      <c r="Q109" t="s">
        <v>28</v>
      </c>
      <c r="R109" t="b">
        <f t="shared" si="13"/>
        <v>1</v>
      </c>
      <c r="S109" s="4" t="s">
        <v>260</v>
      </c>
      <c r="T109" s="3">
        <v>3197</v>
      </c>
      <c r="U109" s="4" t="s">
        <v>31</v>
      </c>
      <c r="V109" s="5">
        <v>22.99</v>
      </c>
      <c r="W109" s="5" t="s">
        <v>31</v>
      </c>
      <c r="X109" s="3" t="s">
        <v>261</v>
      </c>
      <c r="Y109" s="12" t="e">
        <f t="shared" si="14"/>
        <v>#VALUE!</v>
      </c>
      <c r="AA109" t="b">
        <f t="shared" si="15"/>
        <v>1</v>
      </c>
      <c r="AB109" s="19" t="s">
        <v>1005</v>
      </c>
      <c r="AC109" s="19" t="s">
        <v>260</v>
      </c>
      <c r="AD109" s="29"/>
      <c r="AE109" s="29"/>
      <c r="AF109" s="28"/>
      <c r="AG109" s="28"/>
      <c r="AH109" s="29"/>
      <c r="AL109" s="3">
        <v>3197</v>
      </c>
      <c r="AM109" s="37"/>
      <c r="AN109" s="17"/>
      <c r="AO109" s="17"/>
      <c r="AP109" s="37"/>
      <c r="AQ109" s="3"/>
      <c r="AR109" s="3"/>
      <c r="AS109" s="4" t="s">
        <v>31</v>
      </c>
    </row>
    <row r="110" spans="1:45" x14ac:dyDescent="0.25">
      <c r="A110" s="4"/>
      <c r="B110" s="4"/>
      <c r="C110" s="4">
        <v>32</v>
      </c>
      <c r="D110" s="4" t="s">
        <v>262</v>
      </c>
      <c r="E110" s="5">
        <v>23.584</v>
      </c>
      <c r="F110" s="5">
        <v>25.454000000000001</v>
      </c>
      <c r="G110" s="13" t="s">
        <v>24</v>
      </c>
      <c r="H110" s="5" t="s">
        <v>24</v>
      </c>
      <c r="I110" s="4" t="s">
        <v>25</v>
      </c>
      <c r="J110" s="4"/>
      <c r="K110" s="4" t="s">
        <v>54</v>
      </c>
      <c r="L110" s="4">
        <v>8</v>
      </c>
      <c r="M110" s="4" t="str">
        <f t="shared" si="12"/>
        <v>B8</v>
      </c>
      <c r="N110" s="4" t="s">
        <v>27</v>
      </c>
      <c r="O110" s="4">
        <v>58</v>
      </c>
      <c r="P110">
        <v>121</v>
      </c>
      <c r="Q110" t="s">
        <v>28</v>
      </c>
      <c r="R110" t="b">
        <f t="shared" si="13"/>
        <v>1</v>
      </c>
      <c r="S110" s="4" t="s">
        <v>262</v>
      </c>
      <c r="T110" s="3">
        <v>3198</v>
      </c>
      <c r="U110" s="4" t="s">
        <v>25</v>
      </c>
      <c r="V110" s="5">
        <v>23.584</v>
      </c>
      <c r="W110" s="5">
        <v>25.454000000000001</v>
      </c>
      <c r="X110" s="3" t="s">
        <v>263</v>
      </c>
      <c r="Y110" s="12">
        <f t="shared" si="14"/>
        <v>-1.870000000000001</v>
      </c>
      <c r="AA110" t="b">
        <f t="shared" si="15"/>
        <v>1</v>
      </c>
      <c r="AB110" s="19" t="s">
        <v>1006</v>
      </c>
      <c r="AC110" s="19" t="s">
        <v>262</v>
      </c>
      <c r="AD110" s="29">
        <v>549.21</v>
      </c>
      <c r="AE110" s="29"/>
      <c r="AF110" s="28">
        <v>253</v>
      </c>
      <c r="AG110" s="28">
        <v>5487</v>
      </c>
      <c r="AH110" s="29"/>
      <c r="AL110" s="3">
        <v>3198</v>
      </c>
      <c r="AM110" s="37">
        <v>549.21</v>
      </c>
      <c r="AN110" s="40">
        <f>(AM110-122)/3</f>
        <v>142.40333333333334</v>
      </c>
      <c r="AO110" s="40">
        <f>AN110*1.0425+1.2088</f>
        <v>149.664275</v>
      </c>
      <c r="AP110" s="37"/>
      <c r="AQ110" s="3"/>
      <c r="AR110" s="3"/>
      <c r="AS110" s="4" t="s">
        <v>25</v>
      </c>
    </row>
    <row r="111" spans="1:45" x14ac:dyDescent="0.25">
      <c r="A111" s="4"/>
      <c r="B111" s="4"/>
      <c r="C111" s="4">
        <v>80</v>
      </c>
      <c r="D111" s="4" t="s">
        <v>264</v>
      </c>
      <c r="E111" s="5">
        <v>23.788</v>
      </c>
      <c r="F111" s="5">
        <v>25.763000000000002</v>
      </c>
      <c r="G111" s="13" t="s">
        <v>24</v>
      </c>
      <c r="H111" s="5" t="s">
        <v>24</v>
      </c>
      <c r="I111" s="4" t="s">
        <v>25</v>
      </c>
      <c r="J111" s="4"/>
      <c r="K111" s="4" t="s">
        <v>57</v>
      </c>
      <c r="L111" s="4">
        <v>8</v>
      </c>
      <c r="M111" s="4" t="str">
        <f t="shared" si="12"/>
        <v>D8</v>
      </c>
      <c r="N111" s="4" t="s">
        <v>27</v>
      </c>
      <c r="O111" s="4">
        <v>60</v>
      </c>
      <c r="P111">
        <v>122</v>
      </c>
      <c r="Q111" t="s">
        <v>28</v>
      </c>
      <c r="R111" t="b">
        <f t="shared" si="13"/>
        <v>1</v>
      </c>
      <c r="S111" s="4" t="s">
        <v>264</v>
      </c>
      <c r="T111" s="3">
        <v>3199</v>
      </c>
      <c r="U111" s="4" t="s">
        <v>25</v>
      </c>
      <c r="V111" s="5">
        <v>23.788</v>
      </c>
      <c r="W111" s="5">
        <v>25.763000000000002</v>
      </c>
      <c r="X111" s="3" t="s">
        <v>265</v>
      </c>
      <c r="Y111" s="12">
        <f t="shared" si="14"/>
        <v>-1.9750000000000014</v>
      </c>
      <c r="AA111" t="b">
        <f t="shared" si="15"/>
        <v>1</v>
      </c>
      <c r="AB111" s="19" t="s">
        <v>1007</v>
      </c>
      <c r="AC111" s="19" t="s">
        <v>264</v>
      </c>
      <c r="AD111" s="29">
        <v>549.36</v>
      </c>
      <c r="AE111" s="29"/>
      <c r="AF111" s="28">
        <v>265</v>
      </c>
      <c r="AG111" s="28">
        <v>5484</v>
      </c>
      <c r="AH111" s="29"/>
      <c r="AL111" s="3">
        <v>3199</v>
      </c>
      <c r="AM111" s="37">
        <v>549.36</v>
      </c>
      <c r="AN111" s="40">
        <f>(AM111-122)/3</f>
        <v>142.45333333333335</v>
      </c>
      <c r="AO111" s="40">
        <f>AN111*1.0425+1.2088</f>
        <v>149.71640000000002</v>
      </c>
      <c r="AP111" s="37"/>
      <c r="AQ111" s="3"/>
      <c r="AR111" s="3"/>
      <c r="AS111" s="4" t="s">
        <v>25</v>
      </c>
    </row>
    <row r="112" spans="1:45" x14ac:dyDescent="0.25">
      <c r="A112" s="4"/>
      <c r="B112" s="4"/>
      <c r="C112" s="4">
        <v>128</v>
      </c>
      <c r="D112" s="4" t="s">
        <v>266</v>
      </c>
      <c r="E112" s="5">
        <v>22.518000000000001</v>
      </c>
      <c r="F112" s="5">
        <v>35.039000000000001</v>
      </c>
      <c r="G112" s="13" t="s">
        <v>24</v>
      </c>
      <c r="H112" s="5" t="s">
        <v>19</v>
      </c>
      <c r="I112" s="5" t="s">
        <v>31</v>
      </c>
      <c r="J112" s="4"/>
      <c r="K112" s="4" t="s">
        <v>60</v>
      </c>
      <c r="L112" s="4">
        <v>8</v>
      </c>
      <c r="M112" s="4" t="str">
        <f t="shared" si="12"/>
        <v>F8</v>
      </c>
      <c r="N112" s="4" t="s">
        <v>27</v>
      </c>
      <c r="O112" s="4">
        <v>62</v>
      </c>
      <c r="P112">
        <v>123</v>
      </c>
      <c r="Q112" t="s">
        <v>28</v>
      </c>
      <c r="R112" t="b">
        <f t="shared" si="13"/>
        <v>1</v>
      </c>
      <c r="S112" s="4" t="s">
        <v>266</v>
      </c>
      <c r="T112" s="3">
        <v>3200</v>
      </c>
      <c r="U112" s="5" t="s">
        <v>31</v>
      </c>
      <c r="V112" s="5">
        <v>22.518000000000001</v>
      </c>
      <c r="W112" s="5">
        <v>35.039000000000001</v>
      </c>
      <c r="X112" s="3" t="s">
        <v>267</v>
      </c>
      <c r="Y112" s="12">
        <f t="shared" si="14"/>
        <v>-12.521000000000001</v>
      </c>
      <c r="AA112" t="b">
        <f t="shared" si="15"/>
        <v>1</v>
      </c>
      <c r="AB112" s="19" t="s">
        <v>1008</v>
      </c>
      <c r="AC112" s="19" t="s">
        <v>266</v>
      </c>
      <c r="AD112" s="29"/>
      <c r="AE112" s="29"/>
      <c r="AF112" s="28"/>
      <c r="AG112" s="28"/>
      <c r="AH112" s="29"/>
      <c r="AL112" s="3">
        <v>3200</v>
      </c>
      <c r="AM112" s="37"/>
      <c r="AN112" s="17"/>
      <c r="AO112" s="17"/>
      <c r="AP112" s="37"/>
      <c r="AQ112" s="3"/>
      <c r="AR112" s="3"/>
      <c r="AS112" s="5" t="s">
        <v>31</v>
      </c>
    </row>
    <row r="113" spans="1:45" x14ac:dyDescent="0.25">
      <c r="A113" s="4"/>
      <c r="B113" s="4"/>
      <c r="C113" s="4">
        <v>176</v>
      </c>
      <c r="D113" s="4" t="s">
        <v>268</v>
      </c>
      <c r="E113" s="5">
        <v>22.032</v>
      </c>
      <c r="F113" s="5">
        <v>37.856999999999999</v>
      </c>
      <c r="G113" s="13" t="s">
        <v>24</v>
      </c>
      <c r="H113" s="5" t="s">
        <v>19</v>
      </c>
      <c r="I113" s="5" t="s">
        <v>31</v>
      </c>
      <c r="J113" s="4"/>
      <c r="K113" s="4" t="s">
        <v>64</v>
      </c>
      <c r="L113" s="4">
        <v>8</v>
      </c>
      <c r="M113" s="4" t="str">
        <f t="shared" si="12"/>
        <v>H8</v>
      </c>
      <c r="N113" s="4" t="s">
        <v>27</v>
      </c>
      <c r="O113" s="4">
        <v>64</v>
      </c>
      <c r="P113">
        <v>124</v>
      </c>
      <c r="Q113" t="s">
        <v>28</v>
      </c>
      <c r="R113" t="b">
        <f t="shared" si="13"/>
        <v>1</v>
      </c>
      <c r="S113" s="4" t="s">
        <v>268</v>
      </c>
      <c r="T113" s="3">
        <v>3201</v>
      </c>
      <c r="U113" s="5" t="s">
        <v>31</v>
      </c>
      <c r="V113" s="5">
        <v>22.032</v>
      </c>
      <c r="W113" s="5">
        <v>37.856999999999999</v>
      </c>
      <c r="X113" s="3" t="s">
        <v>269</v>
      </c>
      <c r="Y113" s="12">
        <f t="shared" si="14"/>
        <v>-15.824999999999999</v>
      </c>
      <c r="AA113" t="b">
        <f t="shared" si="15"/>
        <v>1</v>
      </c>
      <c r="AB113" s="19" t="s">
        <v>1009</v>
      </c>
      <c r="AC113" s="19" t="s">
        <v>268</v>
      </c>
      <c r="AD113" s="29"/>
      <c r="AE113" s="29"/>
      <c r="AF113" s="28"/>
      <c r="AG113" s="28"/>
      <c r="AH113" s="29"/>
      <c r="AL113" s="3">
        <v>3201</v>
      </c>
      <c r="AM113" s="37"/>
      <c r="AN113" s="17"/>
      <c r="AO113" s="17"/>
      <c r="AP113" s="37"/>
      <c r="AQ113" s="3"/>
      <c r="AR113" s="3"/>
      <c r="AS113" s="5" t="s">
        <v>31</v>
      </c>
    </row>
    <row r="114" spans="1:45" x14ac:dyDescent="0.25">
      <c r="A114" s="4"/>
      <c r="B114" s="4"/>
      <c r="C114" s="4">
        <v>224</v>
      </c>
      <c r="D114" s="4" t="s">
        <v>270</v>
      </c>
      <c r="E114" s="5">
        <v>22.093</v>
      </c>
      <c r="F114" s="5">
        <v>34.523000000000003</v>
      </c>
      <c r="G114" s="13" t="s">
        <v>24</v>
      </c>
      <c r="H114" s="5" t="s">
        <v>19</v>
      </c>
      <c r="I114" s="5" t="s">
        <v>31</v>
      </c>
      <c r="J114" s="4"/>
      <c r="K114" s="4" t="s">
        <v>67</v>
      </c>
      <c r="L114" s="4">
        <v>8</v>
      </c>
      <c r="M114" s="4" t="str">
        <f t="shared" si="12"/>
        <v>J8</v>
      </c>
      <c r="N114" s="4" t="s">
        <v>42</v>
      </c>
      <c r="O114" s="4">
        <v>154</v>
      </c>
      <c r="P114">
        <v>125</v>
      </c>
      <c r="Q114" t="s">
        <v>28</v>
      </c>
      <c r="R114" t="b">
        <f t="shared" si="13"/>
        <v>1</v>
      </c>
      <c r="S114" s="4" t="s">
        <v>270</v>
      </c>
      <c r="T114" s="3">
        <v>3202</v>
      </c>
      <c r="U114" s="5" t="s">
        <v>31</v>
      </c>
      <c r="V114" s="5">
        <v>22.093</v>
      </c>
      <c r="W114" s="5">
        <v>34.523000000000003</v>
      </c>
      <c r="X114" s="3" t="s">
        <v>271</v>
      </c>
      <c r="Y114" s="12">
        <f t="shared" si="14"/>
        <v>-12.430000000000003</v>
      </c>
      <c r="AA114" t="b">
        <f t="shared" si="15"/>
        <v>1</v>
      </c>
      <c r="AB114" s="19" t="s">
        <v>1010</v>
      </c>
      <c r="AC114" s="19" t="s">
        <v>270</v>
      </c>
      <c r="AD114" s="29"/>
      <c r="AE114" s="29"/>
      <c r="AF114" s="28"/>
      <c r="AG114" s="28"/>
      <c r="AH114" s="29"/>
      <c r="AL114" s="3">
        <v>3202</v>
      </c>
      <c r="AM114" s="37"/>
      <c r="AN114" s="17"/>
      <c r="AO114" s="17"/>
      <c r="AP114" s="37"/>
      <c r="AQ114" s="3"/>
      <c r="AR114" s="3"/>
      <c r="AS114" s="5" t="s">
        <v>31</v>
      </c>
    </row>
    <row r="115" spans="1:45" x14ac:dyDescent="0.25">
      <c r="A115" s="4"/>
      <c r="B115" s="4"/>
      <c r="C115" s="4">
        <v>272</v>
      </c>
      <c r="D115" s="4" t="s">
        <v>272</v>
      </c>
      <c r="E115" s="5">
        <v>23.146999999999998</v>
      </c>
      <c r="F115" s="5">
        <v>25.224</v>
      </c>
      <c r="G115" s="13" t="s">
        <v>24</v>
      </c>
      <c r="H115" s="5" t="s">
        <v>24</v>
      </c>
      <c r="I115" s="4" t="s">
        <v>25</v>
      </c>
      <c r="J115" s="4"/>
      <c r="K115" s="4" t="s">
        <v>70</v>
      </c>
      <c r="L115" s="4">
        <v>8</v>
      </c>
      <c r="M115" s="4" t="str">
        <f t="shared" si="12"/>
        <v>L8</v>
      </c>
      <c r="N115" s="4" t="s">
        <v>42</v>
      </c>
      <c r="O115" s="4">
        <v>156</v>
      </c>
      <c r="P115">
        <v>126</v>
      </c>
      <c r="Q115" t="s">
        <v>28</v>
      </c>
      <c r="R115" t="b">
        <f t="shared" si="13"/>
        <v>1</v>
      </c>
      <c r="S115" s="4" t="s">
        <v>272</v>
      </c>
      <c r="T115" s="3">
        <v>3203</v>
      </c>
      <c r="U115" s="4" t="s">
        <v>25</v>
      </c>
      <c r="V115" s="5">
        <v>23.146999999999998</v>
      </c>
      <c r="W115" s="5">
        <v>25.224</v>
      </c>
      <c r="X115" s="3" t="s">
        <v>273</v>
      </c>
      <c r="Y115" s="12">
        <f t="shared" si="14"/>
        <v>-2.0770000000000017</v>
      </c>
      <c r="AA115" t="b">
        <f t="shared" si="15"/>
        <v>1</v>
      </c>
      <c r="AB115" s="19" t="s">
        <v>1011</v>
      </c>
      <c r="AC115" s="19" t="s">
        <v>272</v>
      </c>
      <c r="AD115" s="29">
        <v>549.41</v>
      </c>
      <c r="AE115" s="29"/>
      <c r="AF115" s="28">
        <v>407</v>
      </c>
      <c r="AG115" s="28">
        <v>8078</v>
      </c>
      <c r="AH115" s="29"/>
      <c r="AL115" s="3">
        <v>3203</v>
      </c>
      <c r="AM115" s="37">
        <v>549.41</v>
      </c>
      <c r="AN115" s="40">
        <f>(AM115-122)/3</f>
        <v>142.47</v>
      </c>
      <c r="AO115" s="40">
        <f>AN115*1.0425+1.2088</f>
        <v>149.73377499999998</v>
      </c>
      <c r="AP115" s="37"/>
      <c r="AQ115" s="3"/>
      <c r="AR115" s="3"/>
      <c r="AS115" s="4" t="s">
        <v>25</v>
      </c>
    </row>
    <row r="116" spans="1:45" x14ac:dyDescent="0.25">
      <c r="A116" s="4"/>
      <c r="B116" s="4"/>
      <c r="C116" s="4">
        <v>320</v>
      </c>
      <c r="D116" s="4" t="s">
        <v>274</v>
      </c>
      <c r="E116" s="5">
        <v>23.968</v>
      </c>
      <c r="F116" s="5">
        <v>25.922000000000001</v>
      </c>
      <c r="G116" s="13" t="s">
        <v>24</v>
      </c>
      <c r="H116" s="5" t="s">
        <v>24</v>
      </c>
      <c r="I116" s="4" t="s">
        <v>25</v>
      </c>
      <c r="J116" s="4"/>
      <c r="K116" s="4" t="s">
        <v>73</v>
      </c>
      <c r="L116" s="4">
        <v>8</v>
      </c>
      <c r="M116" s="4" t="str">
        <f t="shared" si="12"/>
        <v>N8</v>
      </c>
      <c r="N116" s="4" t="s">
        <v>42</v>
      </c>
      <c r="O116" s="4">
        <v>158</v>
      </c>
      <c r="P116">
        <v>127</v>
      </c>
      <c r="Q116" t="s">
        <v>28</v>
      </c>
      <c r="R116" t="b">
        <f t="shared" si="13"/>
        <v>1</v>
      </c>
      <c r="S116" s="4" t="s">
        <v>274</v>
      </c>
      <c r="T116" s="3">
        <v>3204</v>
      </c>
      <c r="U116" s="4" t="s">
        <v>25</v>
      </c>
      <c r="V116" s="5">
        <v>23.968</v>
      </c>
      <c r="W116" s="5">
        <v>25.922000000000001</v>
      </c>
      <c r="X116" s="3" t="s">
        <v>275</v>
      </c>
      <c r="Y116" s="12">
        <f t="shared" si="14"/>
        <v>-1.9540000000000006</v>
      </c>
      <c r="AA116" t="b">
        <f t="shared" si="15"/>
        <v>1</v>
      </c>
      <c r="AB116" s="19" t="s">
        <v>1012</v>
      </c>
      <c r="AC116" s="19" t="s">
        <v>274</v>
      </c>
      <c r="AD116" s="29">
        <v>560.86</v>
      </c>
      <c r="AE116" s="29"/>
      <c r="AF116" s="28">
        <v>235</v>
      </c>
      <c r="AG116" s="28">
        <v>4447</v>
      </c>
      <c r="AH116" s="29"/>
      <c r="AL116" s="3">
        <v>3204</v>
      </c>
      <c r="AM116" s="37">
        <v>560.86</v>
      </c>
      <c r="AN116" s="40">
        <f>(AM116-122)/3</f>
        <v>146.28666666666666</v>
      </c>
      <c r="AO116" s="40">
        <f>AN116*1.0425+1.2088</f>
        <v>153.71265</v>
      </c>
      <c r="AP116" s="37"/>
      <c r="AQ116" s="3"/>
      <c r="AR116" s="3"/>
      <c r="AS116" s="4" t="s">
        <v>25</v>
      </c>
    </row>
    <row r="117" spans="1:45" x14ac:dyDescent="0.25">
      <c r="A117" s="4"/>
      <c r="B117" s="4"/>
      <c r="C117" s="4">
        <v>368</v>
      </c>
      <c r="D117" s="4" t="s">
        <v>276</v>
      </c>
      <c r="E117" s="5">
        <v>22.762</v>
      </c>
      <c r="F117" s="5">
        <v>39.020000000000003</v>
      </c>
      <c r="G117" s="13" t="s">
        <v>24</v>
      </c>
      <c r="H117" s="5" t="s">
        <v>19</v>
      </c>
      <c r="I117" s="5" t="s">
        <v>31</v>
      </c>
      <c r="J117" s="4"/>
      <c r="K117" s="4" t="s">
        <v>76</v>
      </c>
      <c r="L117" s="4">
        <v>8</v>
      </c>
      <c r="M117" s="4" t="str">
        <f t="shared" si="12"/>
        <v>P8</v>
      </c>
      <c r="N117" s="4" t="s">
        <v>42</v>
      </c>
      <c r="O117" s="4">
        <v>160</v>
      </c>
      <c r="P117">
        <v>128</v>
      </c>
      <c r="Q117" t="s">
        <v>28</v>
      </c>
      <c r="R117" t="b">
        <f t="shared" si="13"/>
        <v>1</v>
      </c>
      <c r="S117" s="4" t="s">
        <v>276</v>
      </c>
      <c r="T117" s="3">
        <v>3205</v>
      </c>
      <c r="U117" s="5" t="s">
        <v>31</v>
      </c>
      <c r="V117" s="5">
        <v>22.762</v>
      </c>
      <c r="W117" s="5">
        <v>39.020000000000003</v>
      </c>
      <c r="X117" s="3" t="s">
        <v>277</v>
      </c>
      <c r="Y117" s="12">
        <f t="shared" si="14"/>
        <v>-16.258000000000003</v>
      </c>
      <c r="AA117" t="b">
        <f t="shared" si="15"/>
        <v>1</v>
      </c>
      <c r="AB117" s="19" t="s">
        <v>1013</v>
      </c>
      <c r="AC117" s="19" t="s">
        <v>276</v>
      </c>
      <c r="AD117" s="29"/>
      <c r="AE117" s="29"/>
      <c r="AF117" s="28"/>
      <c r="AG117" s="28"/>
      <c r="AH117" s="29"/>
      <c r="AL117" s="3">
        <v>3205</v>
      </c>
      <c r="AM117" s="37"/>
      <c r="AN117" s="17"/>
      <c r="AO117" s="17"/>
      <c r="AP117" s="37"/>
      <c r="AQ117" s="3"/>
      <c r="AR117" s="3"/>
      <c r="AS117" s="5" t="s">
        <v>31</v>
      </c>
    </row>
    <row r="118" spans="1:45" x14ac:dyDescent="0.25">
      <c r="A118" s="4"/>
      <c r="B118" s="4"/>
      <c r="C118" s="4">
        <v>9</v>
      </c>
      <c r="D118" s="4" t="s">
        <v>278</v>
      </c>
      <c r="E118" s="5">
        <v>33.423000000000002</v>
      </c>
      <c r="F118" s="5">
        <v>24.084</v>
      </c>
      <c r="G118" s="13" t="s">
        <v>19</v>
      </c>
      <c r="H118" s="5" t="s">
        <v>24</v>
      </c>
      <c r="I118" s="4" t="s">
        <v>63</v>
      </c>
      <c r="J118" s="4"/>
      <c r="K118" s="4" t="s">
        <v>26</v>
      </c>
      <c r="L118" s="4">
        <v>9</v>
      </c>
      <c r="M118" s="4" t="str">
        <f t="shared" si="12"/>
        <v>A9</v>
      </c>
      <c r="N118" s="4" t="s">
        <v>27</v>
      </c>
      <c r="O118" s="4">
        <v>65</v>
      </c>
      <c r="P118">
        <v>129</v>
      </c>
      <c r="Q118" t="s">
        <v>28</v>
      </c>
      <c r="R118" t="b">
        <f t="shared" si="13"/>
        <v>1</v>
      </c>
      <c r="S118" s="4" t="s">
        <v>278</v>
      </c>
      <c r="T118" s="3">
        <v>3206</v>
      </c>
      <c r="U118" s="4" t="s">
        <v>63</v>
      </c>
      <c r="V118" s="5">
        <v>33.423000000000002</v>
      </c>
      <c r="W118" s="5">
        <v>24.084</v>
      </c>
      <c r="X118" s="3" t="s">
        <v>279</v>
      </c>
      <c r="Y118" s="12">
        <f t="shared" si="14"/>
        <v>9.3390000000000022</v>
      </c>
      <c r="AA118" t="b">
        <f t="shared" si="15"/>
        <v>1</v>
      </c>
      <c r="AB118" s="19" t="s">
        <v>1014</v>
      </c>
      <c r="AC118" s="19" t="s">
        <v>278</v>
      </c>
      <c r="AD118" s="29">
        <v>549.15</v>
      </c>
      <c r="AE118" s="29"/>
      <c r="AF118" s="28">
        <v>360</v>
      </c>
      <c r="AG118" s="28">
        <v>7465</v>
      </c>
      <c r="AH118" s="29"/>
      <c r="AL118" s="3">
        <v>3206</v>
      </c>
      <c r="AM118" s="37">
        <v>549.15</v>
      </c>
      <c r="AN118" s="40">
        <f t="shared" ref="AN118:AN123" si="18">(AM118-122)/3</f>
        <v>142.38333333333333</v>
      </c>
      <c r="AO118" s="40">
        <f t="shared" ref="AO118:AO123" si="19">AN118*1.0425+1.2088</f>
        <v>149.64342499999998</v>
      </c>
      <c r="AP118" s="37"/>
      <c r="AQ118" s="3"/>
      <c r="AR118" s="3"/>
      <c r="AS118" s="4" t="s">
        <v>63</v>
      </c>
    </row>
    <row r="119" spans="1:45" x14ac:dyDescent="0.25">
      <c r="A119" s="4"/>
      <c r="B119" s="4"/>
      <c r="C119" s="4">
        <v>57</v>
      </c>
      <c r="D119" s="4" t="s">
        <v>280</v>
      </c>
      <c r="E119" s="5">
        <v>24.248999999999999</v>
      </c>
      <c r="F119" s="5">
        <v>26.048999999999999</v>
      </c>
      <c r="G119" s="13" t="s">
        <v>24</v>
      </c>
      <c r="H119" s="5" t="s">
        <v>24</v>
      </c>
      <c r="I119" s="4" t="s">
        <v>25</v>
      </c>
      <c r="J119" s="4"/>
      <c r="K119" s="4" t="s">
        <v>32</v>
      </c>
      <c r="L119" s="4">
        <v>9</v>
      </c>
      <c r="M119" s="4" t="str">
        <f t="shared" si="12"/>
        <v>C9</v>
      </c>
      <c r="N119" s="4" t="s">
        <v>27</v>
      </c>
      <c r="O119" s="4">
        <v>67</v>
      </c>
      <c r="P119">
        <v>130</v>
      </c>
      <c r="Q119" t="s">
        <v>28</v>
      </c>
      <c r="R119" t="b">
        <f t="shared" si="13"/>
        <v>1</v>
      </c>
      <c r="S119" s="4" t="s">
        <v>280</v>
      </c>
      <c r="T119" s="3">
        <v>3207</v>
      </c>
      <c r="U119" s="4" t="s">
        <v>25</v>
      </c>
      <c r="V119" s="5">
        <v>24.248999999999999</v>
      </c>
      <c r="W119" s="5">
        <v>26.048999999999999</v>
      </c>
      <c r="X119" s="3" t="s">
        <v>281</v>
      </c>
      <c r="Y119" s="12">
        <f t="shared" si="14"/>
        <v>-1.8000000000000007</v>
      </c>
      <c r="AA119" t="b">
        <f t="shared" si="15"/>
        <v>1</v>
      </c>
      <c r="AB119" s="19" t="s">
        <v>1015</v>
      </c>
      <c r="AC119" s="19" t="s">
        <v>280</v>
      </c>
      <c r="AD119" s="29">
        <v>554.99</v>
      </c>
      <c r="AE119" s="29"/>
      <c r="AF119" s="28">
        <v>172</v>
      </c>
      <c r="AG119" s="28">
        <v>3828</v>
      </c>
      <c r="AH119" s="29"/>
      <c r="AL119" s="3">
        <v>3207</v>
      </c>
      <c r="AM119" s="37">
        <v>554.99</v>
      </c>
      <c r="AN119" s="40">
        <f t="shared" si="18"/>
        <v>144.33000000000001</v>
      </c>
      <c r="AO119" s="40">
        <f t="shared" si="19"/>
        <v>151.67282500000002</v>
      </c>
      <c r="AP119" s="37"/>
      <c r="AQ119" s="3"/>
      <c r="AR119" s="3"/>
      <c r="AS119" s="4" t="s">
        <v>25</v>
      </c>
    </row>
    <row r="120" spans="1:45" x14ac:dyDescent="0.25">
      <c r="A120" s="4"/>
      <c r="B120" s="4"/>
      <c r="C120" s="4">
        <v>105</v>
      </c>
      <c r="D120" s="4" t="s">
        <v>282</v>
      </c>
      <c r="E120" s="5">
        <v>30.454999999999998</v>
      </c>
      <c r="F120" s="5">
        <v>24.097000000000001</v>
      </c>
      <c r="G120" s="13" t="s">
        <v>24</v>
      </c>
      <c r="H120" s="5" t="s">
        <v>24</v>
      </c>
      <c r="I120" s="4" t="s">
        <v>25</v>
      </c>
      <c r="J120" s="4"/>
      <c r="K120" s="4" t="s">
        <v>35</v>
      </c>
      <c r="L120" s="4">
        <v>9</v>
      </c>
      <c r="M120" s="4" t="str">
        <f t="shared" si="12"/>
        <v>E9</v>
      </c>
      <c r="N120" s="4" t="s">
        <v>27</v>
      </c>
      <c r="O120" s="4">
        <v>69</v>
      </c>
      <c r="P120">
        <v>131</v>
      </c>
      <c r="Q120" t="s">
        <v>28</v>
      </c>
      <c r="R120" t="b">
        <f t="shared" si="13"/>
        <v>1</v>
      </c>
      <c r="S120" s="4" t="s">
        <v>282</v>
      </c>
      <c r="T120" s="3">
        <v>3208</v>
      </c>
      <c r="U120" s="4" t="s">
        <v>25</v>
      </c>
      <c r="V120" s="5">
        <v>30.454999999999998</v>
      </c>
      <c r="W120" s="5">
        <v>24.097000000000001</v>
      </c>
      <c r="X120" s="3" t="s">
        <v>283</v>
      </c>
      <c r="Y120" s="12">
        <f t="shared" si="14"/>
        <v>6.357999999999997</v>
      </c>
      <c r="Z120" s="15" t="s">
        <v>19</v>
      </c>
      <c r="AA120" t="b">
        <f t="shared" si="15"/>
        <v>1</v>
      </c>
      <c r="AB120" s="19" t="s">
        <v>1016</v>
      </c>
      <c r="AC120" s="19" t="s">
        <v>282</v>
      </c>
      <c r="AD120" s="29">
        <v>555.13</v>
      </c>
      <c r="AE120" s="29"/>
      <c r="AF120" s="28">
        <v>338</v>
      </c>
      <c r="AG120" s="28">
        <v>6847</v>
      </c>
      <c r="AH120" s="29"/>
      <c r="AL120" s="3">
        <v>3208</v>
      </c>
      <c r="AM120" s="37">
        <v>555.13</v>
      </c>
      <c r="AN120" s="40">
        <f t="shared" si="18"/>
        <v>144.37666666666667</v>
      </c>
      <c r="AO120" s="40">
        <f t="shared" si="19"/>
        <v>151.721475</v>
      </c>
      <c r="AP120" s="37"/>
      <c r="AQ120" s="3"/>
      <c r="AR120" s="3"/>
      <c r="AS120" s="4" t="s">
        <v>25</v>
      </c>
    </row>
    <row r="121" spans="1:45" x14ac:dyDescent="0.25">
      <c r="A121" s="4"/>
      <c r="B121" s="4"/>
      <c r="C121" s="4">
        <v>153</v>
      </c>
      <c r="D121" s="4" t="s">
        <v>284</v>
      </c>
      <c r="E121" s="5" t="s">
        <v>31</v>
      </c>
      <c r="F121" s="5">
        <v>35.859000000000002</v>
      </c>
      <c r="G121" s="13" t="s">
        <v>31</v>
      </c>
      <c r="H121" s="5" t="s">
        <v>19</v>
      </c>
      <c r="I121" s="5" t="s">
        <v>19</v>
      </c>
      <c r="J121" s="4"/>
      <c r="K121" s="4" t="s">
        <v>38</v>
      </c>
      <c r="L121" s="4">
        <v>9</v>
      </c>
      <c r="M121" s="4" t="str">
        <f t="shared" si="12"/>
        <v>G9</v>
      </c>
      <c r="N121" s="4" t="s">
        <v>27</v>
      </c>
      <c r="O121" s="4">
        <v>71</v>
      </c>
      <c r="P121">
        <v>132</v>
      </c>
      <c r="Q121" t="s">
        <v>28</v>
      </c>
      <c r="R121" t="b">
        <f t="shared" si="13"/>
        <v>1</v>
      </c>
      <c r="S121" s="4" t="s">
        <v>284</v>
      </c>
      <c r="T121" s="3">
        <v>3209</v>
      </c>
      <c r="U121" s="4" t="s">
        <v>63</v>
      </c>
      <c r="V121" s="5" t="s">
        <v>31</v>
      </c>
      <c r="W121" s="5">
        <v>35.859000000000002</v>
      </c>
      <c r="X121" s="3" t="s">
        <v>285</v>
      </c>
      <c r="Y121" s="12" t="e">
        <f t="shared" si="14"/>
        <v>#VALUE!</v>
      </c>
      <c r="Z121" s="16" t="s">
        <v>19</v>
      </c>
      <c r="AA121" t="b">
        <f t="shared" si="15"/>
        <v>1</v>
      </c>
      <c r="AB121" s="19" t="s">
        <v>1017</v>
      </c>
      <c r="AC121" s="19" t="s">
        <v>284</v>
      </c>
      <c r="AD121" s="3">
        <v>553.65</v>
      </c>
      <c r="AE121" s="3"/>
      <c r="AF121" s="3">
        <v>3142</v>
      </c>
      <c r="AG121" s="28">
        <v>6067</v>
      </c>
      <c r="AH121" s="32" t="s">
        <v>1062</v>
      </c>
      <c r="AL121" s="3">
        <v>3209</v>
      </c>
      <c r="AM121" s="17">
        <v>553.65</v>
      </c>
      <c r="AN121" s="40">
        <f t="shared" si="18"/>
        <v>143.88333333333333</v>
      </c>
      <c r="AO121" s="40">
        <f t="shared" si="19"/>
        <v>151.20717499999998</v>
      </c>
      <c r="AP121" s="17"/>
      <c r="AQ121" s="3"/>
      <c r="AR121" s="3"/>
      <c r="AS121" s="4" t="s">
        <v>63</v>
      </c>
    </row>
    <row r="122" spans="1:45" x14ac:dyDescent="0.25">
      <c r="A122" s="4"/>
      <c r="B122" s="4"/>
      <c r="C122" s="4">
        <v>201</v>
      </c>
      <c r="D122" s="4" t="s">
        <v>286</v>
      </c>
      <c r="E122" s="5">
        <v>23.895</v>
      </c>
      <c r="F122" s="5">
        <v>25.827000000000002</v>
      </c>
      <c r="G122" s="13" t="s">
        <v>24</v>
      </c>
      <c r="H122" s="5" t="s">
        <v>24</v>
      </c>
      <c r="I122" s="4" t="s">
        <v>25</v>
      </c>
      <c r="J122" s="4"/>
      <c r="K122" s="4" t="s">
        <v>41</v>
      </c>
      <c r="L122" s="4">
        <v>9</v>
      </c>
      <c r="M122" s="4" t="str">
        <f t="shared" si="12"/>
        <v>I9</v>
      </c>
      <c r="N122" s="4" t="s">
        <v>42</v>
      </c>
      <c r="O122" s="4">
        <v>161</v>
      </c>
      <c r="P122">
        <v>133</v>
      </c>
      <c r="Q122" t="s">
        <v>28</v>
      </c>
      <c r="R122" t="b">
        <f t="shared" si="13"/>
        <v>1</v>
      </c>
      <c r="S122" s="4" t="s">
        <v>286</v>
      </c>
      <c r="T122" s="3">
        <v>3212</v>
      </c>
      <c r="U122" s="4" t="s">
        <v>25</v>
      </c>
      <c r="V122" s="5">
        <v>23.895</v>
      </c>
      <c r="W122" s="5">
        <v>25.827000000000002</v>
      </c>
      <c r="X122" s="3" t="s">
        <v>287</v>
      </c>
      <c r="Y122" s="12">
        <f t="shared" si="14"/>
        <v>-1.9320000000000022</v>
      </c>
      <c r="AA122" t="b">
        <f t="shared" si="15"/>
        <v>1</v>
      </c>
      <c r="AB122" s="19" t="s">
        <v>1018</v>
      </c>
      <c r="AC122" s="19" t="s">
        <v>286</v>
      </c>
      <c r="AD122" s="29">
        <v>531.95000000000005</v>
      </c>
      <c r="AE122" s="29"/>
      <c r="AF122" s="28">
        <v>353</v>
      </c>
      <c r="AG122" s="28">
        <v>7382</v>
      </c>
      <c r="AH122" s="29"/>
      <c r="AL122" s="3">
        <v>3212</v>
      </c>
      <c r="AM122" s="37">
        <v>531.95000000000005</v>
      </c>
      <c r="AN122" s="40">
        <f t="shared" si="18"/>
        <v>136.65</v>
      </c>
      <c r="AO122" s="40">
        <f t="shared" si="19"/>
        <v>143.666425</v>
      </c>
      <c r="AP122" s="37"/>
      <c r="AQ122" s="3"/>
      <c r="AR122" s="3"/>
      <c r="AS122" s="4" t="s">
        <v>25</v>
      </c>
    </row>
    <row r="123" spans="1:45" x14ac:dyDescent="0.25">
      <c r="A123" s="4"/>
      <c r="B123" s="4"/>
      <c r="C123" s="4">
        <v>249</v>
      </c>
      <c r="D123" s="4" t="s">
        <v>288</v>
      </c>
      <c r="E123" s="5">
        <v>24.481000000000002</v>
      </c>
      <c r="F123" s="5">
        <v>28.748000000000001</v>
      </c>
      <c r="G123" s="13" t="s">
        <v>24</v>
      </c>
      <c r="H123" s="5" t="s">
        <v>24</v>
      </c>
      <c r="I123" s="4" t="s">
        <v>25</v>
      </c>
      <c r="J123" s="4"/>
      <c r="K123" s="4" t="s">
        <v>45</v>
      </c>
      <c r="L123" s="4">
        <v>9</v>
      </c>
      <c r="M123" s="4" t="str">
        <f t="shared" si="12"/>
        <v>K9</v>
      </c>
      <c r="N123" s="4" t="s">
        <v>42</v>
      </c>
      <c r="O123" s="4">
        <v>163</v>
      </c>
      <c r="P123">
        <v>134</v>
      </c>
      <c r="Q123" t="s">
        <v>28</v>
      </c>
      <c r="R123" t="b">
        <f t="shared" si="13"/>
        <v>1</v>
      </c>
      <c r="S123" s="4" t="s">
        <v>288</v>
      </c>
      <c r="T123" s="3">
        <v>3213</v>
      </c>
      <c r="U123" s="4" t="s">
        <v>25</v>
      </c>
      <c r="V123" s="5">
        <v>24.481000000000002</v>
      </c>
      <c r="W123" s="5">
        <v>28.748000000000001</v>
      </c>
      <c r="X123" s="3" t="s">
        <v>289</v>
      </c>
      <c r="Y123" s="12">
        <f t="shared" si="14"/>
        <v>-4.2669999999999995</v>
      </c>
      <c r="AA123" t="b">
        <f t="shared" si="15"/>
        <v>1</v>
      </c>
      <c r="AB123" s="19" t="s">
        <v>1019</v>
      </c>
      <c r="AC123" s="19" t="s">
        <v>288</v>
      </c>
      <c r="AD123" s="29">
        <v>540.66</v>
      </c>
      <c r="AE123" s="29"/>
      <c r="AF123" s="28">
        <v>186</v>
      </c>
      <c r="AG123" s="28">
        <v>3912</v>
      </c>
      <c r="AH123" s="29"/>
      <c r="AL123" s="3">
        <v>3213</v>
      </c>
      <c r="AM123" s="37">
        <v>540.66</v>
      </c>
      <c r="AN123" s="40">
        <f t="shared" si="18"/>
        <v>139.55333333333331</v>
      </c>
      <c r="AO123" s="40">
        <f t="shared" si="19"/>
        <v>146.69314999999997</v>
      </c>
      <c r="AP123" s="37"/>
      <c r="AQ123" s="3"/>
      <c r="AR123" s="3"/>
      <c r="AS123" s="4" t="s">
        <v>25</v>
      </c>
    </row>
    <row r="124" spans="1:45" x14ac:dyDescent="0.25">
      <c r="A124" s="4"/>
      <c r="B124" s="4"/>
      <c r="C124" s="4">
        <v>297</v>
      </c>
      <c r="D124" s="4" t="s">
        <v>290</v>
      </c>
      <c r="E124" s="5">
        <v>23.975999999999999</v>
      </c>
      <c r="F124" s="5">
        <v>39.545999999999999</v>
      </c>
      <c r="G124" s="13" t="s">
        <v>24</v>
      </c>
      <c r="H124" s="5" t="s">
        <v>19</v>
      </c>
      <c r="I124" s="5" t="s">
        <v>31</v>
      </c>
      <c r="J124" s="4"/>
      <c r="K124" s="4" t="s">
        <v>48</v>
      </c>
      <c r="L124" s="4">
        <v>9</v>
      </c>
      <c r="M124" s="4" t="str">
        <f t="shared" si="12"/>
        <v>M9</v>
      </c>
      <c r="N124" s="4" t="s">
        <v>42</v>
      </c>
      <c r="O124" s="4">
        <v>165</v>
      </c>
      <c r="P124">
        <v>135</v>
      </c>
      <c r="Q124" t="s">
        <v>28</v>
      </c>
      <c r="R124" t="b">
        <f t="shared" si="13"/>
        <v>1</v>
      </c>
      <c r="S124" s="4" t="s">
        <v>290</v>
      </c>
      <c r="T124" s="3">
        <v>3214</v>
      </c>
      <c r="U124" s="5" t="s">
        <v>31</v>
      </c>
      <c r="V124" s="5">
        <v>23.975999999999999</v>
      </c>
      <c r="W124" s="5">
        <v>39.545999999999999</v>
      </c>
      <c r="X124" s="3" t="s">
        <v>291</v>
      </c>
      <c r="Y124" s="12">
        <f t="shared" si="14"/>
        <v>-15.57</v>
      </c>
      <c r="AA124" t="b">
        <f t="shared" si="15"/>
        <v>1</v>
      </c>
      <c r="AB124" s="19" t="s">
        <v>1020</v>
      </c>
      <c r="AC124" s="19" t="s">
        <v>290</v>
      </c>
      <c r="AD124" s="29"/>
      <c r="AE124" s="29"/>
      <c r="AF124" s="28"/>
      <c r="AG124" s="28"/>
      <c r="AH124" s="29"/>
      <c r="AL124" s="3">
        <v>3214</v>
      </c>
      <c r="AM124" s="37"/>
      <c r="AN124" s="17"/>
      <c r="AO124" s="17"/>
      <c r="AP124" s="37"/>
      <c r="AQ124" s="3"/>
      <c r="AR124" s="3"/>
      <c r="AS124" s="5" t="s">
        <v>31</v>
      </c>
    </row>
    <row r="125" spans="1:45" x14ac:dyDescent="0.25">
      <c r="A125" s="4"/>
      <c r="B125" s="4"/>
      <c r="C125" s="4">
        <v>345</v>
      </c>
      <c r="D125" s="4" t="s">
        <v>292</v>
      </c>
      <c r="E125" s="5">
        <v>23.151</v>
      </c>
      <c r="F125" s="5">
        <v>25.498000000000001</v>
      </c>
      <c r="G125" s="13" t="s">
        <v>24</v>
      </c>
      <c r="H125" s="5" t="s">
        <v>24</v>
      </c>
      <c r="I125" s="4" t="s">
        <v>25</v>
      </c>
      <c r="J125" s="4"/>
      <c r="K125" s="4" t="s">
        <v>51</v>
      </c>
      <c r="L125" s="4">
        <v>9</v>
      </c>
      <c r="M125" s="4" t="str">
        <f t="shared" si="12"/>
        <v>O9</v>
      </c>
      <c r="N125" s="4" t="s">
        <v>42</v>
      </c>
      <c r="O125" s="4">
        <v>167</v>
      </c>
      <c r="P125">
        <v>136</v>
      </c>
      <c r="Q125" t="s">
        <v>28</v>
      </c>
      <c r="R125" t="b">
        <f t="shared" si="13"/>
        <v>1</v>
      </c>
      <c r="S125" s="4" t="s">
        <v>292</v>
      </c>
      <c r="T125" s="3">
        <v>3215</v>
      </c>
      <c r="U125" s="4" t="s">
        <v>25</v>
      </c>
      <c r="V125" s="5">
        <v>23.151</v>
      </c>
      <c r="W125" s="5">
        <v>25.498000000000001</v>
      </c>
      <c r="X125" s="3" t="s">
        <v>293</v>
      </c>
      <c r="Y125" s="12">
        <f t="shared" si="14"/>
        <v>-2.3470000000000013</v>
      </c>
      <c r="AA125" t="b">
        <f t="shared" si="15"/>
        <v>1</v>
      </c>
      <c r="AB125" s="19" t="s">
        <v>1021</v>
      </c>
      <c r="AC125" s="19" t="s">
        <v>292</v>
      </c>
      <c r="AD125" s="29">
        <v>491.4</v>
      </c>
      <c r="AE125" s="29">
        <v>543.30999999999995</v>
      </c>
      <c r="AF125" s="28">
        <v>332</v>
      </c>
      <c r="AG125" s="28">
        <v>6279</v>
      </c>
      <c r="AH125" s="29"/>
      <c r="AL125" s="3">
        <v>3215</v>
      </c>
      <c r="AM125" s="37">
        <v>491.4</v>
      </c>
      <c r="AN125" s="40">
        <f>(AM125-122)/3</f>
        <v>123.13333333333333</v>
      </c>
      <c r="AO125" s="40">
        <f>AN125*1.0425+1.2088</f>
        <v>129.5753</v>
      </c>
      <c r="AP125" s="37">
        <v>543.30999999999995</v>
      </c>
      <c r="AQ125" s="40">
        <f>(AP125-122)/3</f>
        <v>140.43666666666664</v>
      </c>
      <c r="AR125" s="40">
        <f>AQ125*1.0425+1.2088</f>
        <v>147.61402499999997</v>
      </c>
      <c r="AS125" s="4" t="s">
        <v>25</v>
      </c>
    </row>
    <row r="126" spans="1:45" x14ac:dyDescent="0.25">
      <c r="A126" s="4"/>
      <c r="B126" s="4"/>
      <c r="C126" s="4">
        <v>33</v>
      </c>
      <c r="D126" s="4" t="s">
        <v>294</v>
      </c>
      <c r="E126" s="5">
        <v>39.005000000000003</v>
      </c>
      <c r="F126" s="5">
        <v>24.15</v>
      </c>
      <c r="G126" s="13" t="s">
        <v>19</v>
      </c>
      <c r="H126" s="5" t="s">
        <v>24</v>
      </c>
      <c r="I126" s="4" t="s">
        <v>63</v>
      </c>
      <c r="J126" s="4"/>
      <c r="K126" s="4" t="s">
        <v>54</v>
      </c>
      <c r="L126" s="4">
        <v>9</v>
      </c>
      <c r="M126" s="4" t="str">
        <f t="shared" si="12"/>
        <v>B9</v>
      </c>
      <c r="N126" s="4" t="s">
        <v>27</v>
      </c>
      <c r="O126" s="4">
        <v>66</v>
      </c>
      <c r="P126">
        <v>137</v>
      </c>
      <c r="Q126" t="s">
        <v>28</v>
      </c>
      <c r="R126" t="b">
        <f t="shared" si="13"/>
        <v>1</v>
      </c>
      <c r="S126" s="4" t="s">
        <v>294</v>
      </c>
      <c r="T126" s="3">
        <v>3216</v>
      </c>
      <c r="U126" s="4" t="s">
        <v>63</v>
      </c>
      <c r="V126" s="5">
        <v>39.005000000000003</v>
      </c>
      <c r="W126" s="5">
        <v>24.15</v>
      </c>
      <c r="X126" s="3" t="s">
        <v>295</v>
      </c>
      <c r="Y126" s="12">
        <f t="shared" si="14"/>
        <v>14.855000000000004</v>
      </c>
      <c r="AA126" t="b">
        <f t="shared" si="15"/>
        <v>1</v>
      </c>
      <c r="AB126" s="19" t="s">
        <v>1022</v>
      </c>
      <c r="AC126" s="19" t="s">
        <v>294</v>
      </c>
      <c r="AD126" s="3">
        <v>541.94000000000005</v>
      </c>
      <c r="AE126" s="3">
        <v>559.41</v>
      </c>
      <c r="AF126" s="3">
        <v>1478</v>
      </c>
      <c r="AG126" s="28"/>
      <c r="AH126" s="3" t="s">
        <v>19</v>
      </c>
      <c r="AL126" s="3">
        <v>3216</v>
      </c>
      <c r="AM126" s="17">
        <v>541.94000000000005</v>
      </c>
      <c r="AN126" s="40">
        <f>(AM126-122)/3</f>
        <v>139.98000000000002</v>
      </c>
      <c r="AO126" s="40">
        <f>AN126*1.0425+1.2088</f>
        <v>147.13795000000002</v>
      </c>
      <c r="AP126" s="17">
        <v>559.41</v>
      </c>
      <c r="AQ126" s="40">
        <f>(AP126-122)/3</f>
        <v>145.80333333333331</v>
      </c>
      <c r="AR126" s="40">
        <f>AQ126*1.0425+1.2088</f>
        <v>153.20877499999997</v>
      </c>
      <c r="AS126" s="4" t="s">
        <v>63</v>
      </c>
    </row>
    <row r="127" spans="1:45" x14ac:dyDescent="0.25">
      <c r="A127" s="4"/>
      <c r="B127" s="4"/>
      <c r="C127" s="4">
        <v>81</v>
      </c>
      <c r="D127" s="4" t="s">
        <v>296</v>
      </c>
      <c r="E127" s="5">
        <v>39.264000000000003</v>
      </c>
      <c r="F127" s="5">
        <v>25.56</v>
      </c>
      <c r="G127" s="13" t="s">
        <v>19</v>
      </c>
      <c r="H127" s="5" t="s">
        <v>24</v>
      </c>
      <c r="I127" s="4" t="s">
        <v>63</v>
      </c>
      <c r="J127" s="4"/>
      <c r="K127" s="4" t="s">
        <v>57</v>
      </c>
      <c r="L127" s="4">
        <v>9</v>
      </c>
      <c r="M127" s="4" t="str">
        <f t="shared" si="12"/>
        <v>D9</v>
      </c>
      <c r="N127" s="4" t="s">
        <v>27</v>
      </c>
      <c r="O127" s="4">
        <v>68</v>
      </c>
      <c r="P127">
        <v>138</v>
      </c>
      <c r="Q127" t="s">
        <v>28</v>
      </c>
      <c r="R127" t="b">
        <f t="shared" si="13"/>
        <v>1</v>
      </c>
      <c r="S127" s="4" t="s">
        <v>296</v>
      </c>
      <c r="T127" s="3">
        <v>3217</v>
      </c>
      <c r="U127" s="4" t="s">
        <v>63</v>
      </c>
      <c r="V127" s="5">
        <v>39.264000000000003</v>
      </c>
      <c r="W127" s="5">
        <v>25.56</v>
      </c>
      <c r="X127" s="3" t="s">
        <v>297</v>
      </c>
      <c r="Y127" s="12">
        <f t="shared" si="14"/>
        <v>13.704000000000004</v>
      </c>
      <c r="AA127" t="b">
        <f t="shared" si="15"/>
        <v>1</v>
      </c>
      <c r="AB127" s="19" t="s">
        <v>1023</v>
      </c>
      <c r="AC127" s="19" t="s">
        <v>296</v>
      </c>
      <c r="AD127" s="29">
        <v>549.30999999999995</v>
      </c>
      <c r="AE127" s="29"/>
      <c r="AF127" s="28">
        <v>272</v>
      </c>
      <c r="AG127" s="28">
        <v>5724</v>
      </c>
      <c r="AH127" s="29"/>
      <c r="AL127" s="3">
        <v>3217</v>
      </c>
      <c r="AM127" s="37">
        <v>549.30999999999995</v>
      </c>
      <c r="AN127" s="40">
        <f>(AM127-122)/3</f>
        <v>142.43666666666664</v>
      </c>
      <c r="AO127" s="40">
        <f>AN127*1.0425+1.2088</f>
        <v>149.69902499999998</v>
      </c>
      <c r="AP127" s="37"/>
      <c r="AQ127" s="3"/>
      <c r="AR127" s="3"/>
      <c r="AS127" s="4" t="s">
        <v>63</v>
      </c>
    </row>
    <row r="128" spans="1:45" x14ac:dyDescent="0.25">
      <c r="A128" s="4"/>
      <c r="B128" s="4"/>
      <c r="C128" s="4">
        <v>129</v>
      </c>
      <c r="D128" s="4" t="s">
        <v>298</v>
      </c>
      <c r="E128" s="5">
        <v>23.974</v>
      </c>
      <c r="F128" s="5">
        <v>26.099</v>
      </c>
      <c r="G128" s="13" t="s">
        <v>24</v>
      </c>
      <c r="H128" s="5" t="s">
        <v>24</v>
      </c>
      <c r="I128" s="4" t="s">
        <v>25</v>
      </c>
      <c r="J128" s="4"/>
      <c r="K128" s="4" t="s">
        <v>60</v>
      </c>
      <c r="L128" s="4">
        <v>9</v>
      </c>
      <c r="M128" s="4" t="str">
        <f t="shared" si="12"/>
        <v>F9</v>
      </c>
      <c r="N128" s="4" t="s">
        <v>27</v>
      </c>
      <c r="O128" s="4">
        <v>70</v>
      </c>
      <c r="P128">
        <v>139</v>
      </c>
      <c r="Q128" t="s">
        <v>28</v>
      </c>
      <c r="R128" t="b">
        <f t="shared" si="13"/>
        <v>1</v>
      </c>
      <c r="S128" s="4" t="s">
        <v>298</v>
      </c>
      <c r="T128" s="3">
        <v>3218</v>
      </c>
      <c r="U128" s="4" t="s">
        <v>25</v>
      </c>
      <c r="V128" s="5">
        <v>23.974</v>
      </c>
      <c r="W128" s="5">
        <v>26.099</v>
      </c>
      <c r="X128" s="3" t="s">
        <v>299</v>
      </c>
      <c r="Y128" s="12">
        <f t="shared" si="14"/>
        <v>-2.125</v>
      </c>
      <c r="AA128" t="b">
        <f t="shared" si="15"/>
        <v>1</v>
      </c>
      <c r="AB128" s="19" t="s">
        <v>1024</v>
      </c>
      <c r="AC128" s="19" t="s">
        <v>298</v>
      </c>
      <c r="AD128" s="29">
        <v>540.53</v>
      </c>
      <c r="AE128" s="29"/>
      <c r="AF128" s="28">
        <v>220</v>
      </c>
      <c r="AG128" s="28">
        <v>4907</v>
      </c>
      <c r="AH128" s="29"/>
      <c r="AL128" s="3">
        <v>3218</v>
      </c>
      <c r="AM128" s="37">
        <v>540.53</v>
      </c>
      <c r="AN128" s="40">
        <f>(AM128-122)/3</f>
        <v>139.51</v>
      </c>
      <c r="AO128" s="40">
        <f>AN128*1.0425+1.2088</f>
        <v>146.64797499999997</v>
      </c>
      <c r="AP128" s="37"/>
      <c r="AQ128" s="3"/>
      <c r="AR128" s="3"/>
      <c r="AS128" s="4" t="s">
        <v>25</v>
      </c>
    </row>
    <row r="129" spans="1:45" x14ac:dyDescent="0.25">
      <c r="A129" s="4"/>
      <c r="B129" s="4"/>
      <c r="C129" s="4">
        <v>177</v>
      </c>
      <c r="D129" s="4" t="s">
        <v>300</v>
      </c>
      <c r="E129" s="5" t="s">
        <v>31</v>
      </c>
      <c r="F129" s="5">
        <v>25.344000000000001</v>
      </c>
      <c r="G129" s="13" t="s">
        <v>31</v>
      </c>
      <c r="H129" s="5" t="s">
        <v>24</v>
      </c>
      <c r="I129" s="4" t="s">
        <v>63</v>
      </c>
      <c r="J129" s="4"/>
      <c r="K129" s="4" t="s">
        <v>64</v>
      </c>
      <c r="L129" s="4">
        <v>9</v>
      </c>
      <c r="M129" s="4" t="str">
        <f t="shared" si="12"/>
        <v>H9</v>
      </c>
      <c r="N129" s="4" t="s">
        <v>27</v>
      </c>
      <c r="O129" s="4">
        <v>72</v>
      </c>
      <c r="P129">
        <v>140</v>
      </c>
      <c r="Q129" t="s">
        <v>28</v>
      </c>
      <c r="R129" t="b">
        <f t="shared" si="13"/>
        <v>1</v>
      </c>
      <c r="S129" s="4" t="s">
        <v>300</v>
      </c>
      <c r="T129" s="3">
        <v>3219</v>
      </c>
      <c r="U129" s="4" t="s">
        <v>63</v>
      </c>
      <c r="V129" s="5" t="s">
        <v>31</v>
      </c>
      <c r="W129" s="5">
        <v>25.344000000000001</v>
      </c>
      <c r="X129" s="3" t="s">
        <v>301</v>
      </c>
      <c r="Y129" s="12" t="e">
        <f t="shared" si="14"/>
        <v>#VALUE!</v>
      </c>
      <c r="AA129" t="b">
        <f t="shared" si="15"/>
        <v>1</v>
      </c>
      <c r="AB129" s="19" t="s">
        <v>1025</v>
      </c>
      <c r="AC129" s="19" t="s">
        <v>300</v>
      </c>
      <c r="AD129" s="29">
        <v>555.15</v>
      </c>
      <c r="AE129" s="29">
        <v>578.32000000000005</v>
      </c>
      <c r="AF129" s="28">
        <v>178</v>
      </c>
      <c r="AG129" s="28">
        <v>3670</v>
      </c>
      <c r="AH129" s="29"/>
      <c r="AL129" s="3">
        <v>3219</v>
      </c>
      <c r="AM129" s="37">
        <v>555.15</v>
      </c>
      <c r="AN129" s="40">
        <f>(AM129-122)/3</f>
        <v>144.38333333333333</v>
      </c>
      <c r="AO129" s="40">
        <f>AN129*1.0425+1.2088</f>
        <v>151.72842499999999</v>
      </c>
      <c r="AP129" s="37">
        <v>578.32000000000005</v>
      </c>
      <c r="AQ129" s="40">
        <f>(AP129-122)/3</f>
        <v>152.10666666666668</v>
      </c>
      <c r="AR129" s="40">
        <f>AQ129*1.0425+1.2088</f>
        <v>159.78</v>
      </c>
      <c r="AS129" s="4" t="s">
        <v>63</v>
      </c>
    </row>
    <row r="130" spans="1:45" x14ac:dyDescent="0.25">
      <c r="A130" s="4"/>
      <c r="B130" s="4"/>
      <c r="C130" s="4">
        <v>225</v>
      </c>
      <c r="D130" s="4" t="s">
        <v>302</v>
      </c>
      <c r="E130" s="5">
        <v>22.591999999999999</v>
      </c>
      <c r="F130" s="5">
        <v>38.515000000000001</v>
      </c>
      <c r="G130" s="13" t="s">
        <v>24</v>
      </c>
      <c r="H130" s="5" t="s">
        <v>19</v>
      </c>
      <c r="I130" s="5" t="s">
        <v>31</v>
      </c>
      <c r="J130" s="4"/>
      <c r="K130" s="4" t="s">
        <v>67</v>
      </c>
      <c r="L130" s="4">
        <v>9</v>
      </c>
      <c r="M130" s="4" t="str">
        <f t="shared" ref="M130:M193" si="20">CONCATENATE(K130,L130)</f>
        <v>J9</v>
      </c>
      <c r="N130" s="4" t="s">
        <v>42</v>
      </c>
      <c r="O130" s="4">
        <v>162</v>
      </c>
      <c r="P130">
        <v>141</v>
      </c>
      <c r="Q130" t="s">
        <v>28</v>
      </c>
      <c r="R130" t="b">
        <f t="shared" ref="R130:R193" si="21">D130=S130</f>
        <v>1</v>
      </c>
      <c r="S130" s="4" t="s">
        <v>302</v>
      </c>
      <c r="T130" s="3">
        <v>3220</v>
      </c>
      <c r="U130" s="5" t="s">
        <v>31</v>
      </c>
      <c r="V130" s="5">
        <v>22.591999999999999</v>
      </c>
      <c r="W130" s="5">
        <v>38.515000000000001</v>
      </c>
      <c r="X130" s="3" t="s">
        <v>303</v>
      </c>
      <c r="Y130" s="12">
        <f t="shared" ref="Y130:Y193" si="22">V130-W130</f>
        <v>-15.923000000000002</v>
      </c>
      <c r="AA130" t="b">
        <f t="shared" ref="AA130:AA193" si="23">S130=AC130</f>
        <v>1</v>
      </c>
      <c r="AB130" s="19" t="s">
        <v>1026</v>
      </c>
      <c r="AC130" s="19" t="s">
        <v>302</v>
      </c>
      <c r="AD130" s="29"/>
      <c r="AE130" s="29"/>
      <c r="AF130" s="28"/>
      <c r="AG130" s="28"/>
      <c r="AH130" s="29"/>
      <c r="AL130" s="3">
        <v>3220</v>
      </c>
      <c r="AM130" s="37"/>
      <c r="AN130" s="17"/>
      <c r="AO130" s="17"/>
      <c r="AP130" s="37"/>
      <c r="AQ130" s="3"/>
      <c r="AR130" s="3"/>
      <c r="AS130" s="5" t="s">
        <v>31</v>
      </c>
    </row>
    <row r="131" spans="1:45" x14ac:dyDescent="0.25">
      <c r="A131" s="4"/>
      <c r="B131" s="4"/>
      <c r="C131" s="4">
        <v>273</v>
      </c>
      <c r="D131" s="4" t="s">
        <v>304</v>
      </c>
      <c r="E131" s="5">
        <v>24.658000000000001</v>
      </c>
      <c r="F131" s="5">
        <v>26.391999999999999</v>
      </c>
      <c r="G131" s="13" t="s">
        <v>24</v>
      </c>
      <c r="H131" s="5" t="s">
        <v>24</v>
      </c>
      <c r="I131" s="4" t="s">
        <v>25</v>
      </c>
      <c r="J131" s="4"/>
      <c r="K131" s="4" t="s">
        <v>70</v>
      </c>
      <c r="L131" s="4">
        <v>9</v>
      </c>
      <c r="M131" s="4" t="str">
        <f t="shared" si="20"/>
        <v>L9</v>
      </c>
      <c r="N131" s="4" t="s">
        <v>42</v>
      </c>
      <c r="O131" s="4">
        <v>164</v>
      </c>
      <c r="P131">
        <v>142</v>
      </c>
      <c r="Q131" t="s">
        <v>28</v>
      </c>
      <c r="R131" t="b">
        <f t="shared" si="21"/>
        <v>1</v>
      </c>
      <c r="S131" s="4" t="s">
        <v>304</v>
      </c>
      <c r="T131" s="3">
        <v>3221</v>
      </c>
      <c r="U131" s="4" t="s">
        <v>25</v>
      </c>
      <c r="V131" s="5">
        <v>24.658000000000001</v>
      </c>
      <c r="W131" s="5">
        <v>26.391999999999999</v>
      </c>
      <c r="X131" s="3" t="s">
        <v>305</v>
      </c>
      <c r="Y131" s="12">
        <f t="shared" si="22"/>
        <v>-1.7339999999999982</v>
      </c>
      <c r="AA131" t="b">
        <f t="shared" si="23"/>
        <v>1</v>
      </c>
      <c r="AB131" s="19" t="s">
        <v>1027</v>
      </c>
      <c r="AC131" s="19" t="s">
        <v>304</v>
      </c>
      <c r="AD131" s="29">
        <v>584.12</v>
      </c>
      <c r="AE131" s="29"/>
      <c r="AF131" s="28">
        <v>136</v>
      </c>
      <c r="AG131" s="28">
        <v>3013</v>
      </c>
      <c r="AH131" s="29"/>
      <c r="AL131" s="3">
        <v>3221</v>
      </c>
      <c r="AM131" s="37">
        <v>584.12</v>
      </c>
      <c r="AN131" s="40">
        <f>(AM131-122)/3</f>
        <v>154.04</v>
      </c>
      <c r="AO131" s="40">
        <f>AN131*1.0425+1.2088</f>
        <v>161.79549999999998</v>
      </c>
      <c r="AP131" s="37"/>
      <c r="AQ131" s="3"/>
      <c r="AR131" s="3"/>
      <c r="AS131" s="4" t="s">
        <v>25</v>
      </c>
    </row>
    <row r="132" spans="1:45" x14ac:dyDescent="0.25">
      <c r="A132" s="4"/>
      <c r="B132" s="4"/>
      <c r="C132" s="4">
        <v>321</v>
      </c>
      <c r="D132" s="4" t="s">
        <v>306</v>
      </c>
      <c r="E132" s="5">
        <v>23.827000000000002</v>
      </c>
      <c r="F132" s="5">
        <v>25.939</v>
      </c>
      <c r="G132" s="13" t="s">
        <v>24</v>
      </c>
      <c r="H132" s="5" t="s">
        <v>24</v>
      </c>
      <c r="I132" s="4" t="s">
        <v>25</v>
      </c>
      <c r="J132" s="4"/>
      <c r="K132" s="4" t="s">
        <v>73</v>
      </c>
      <c r="L132" s="4">
        <v>9</v>
      </c>
      <c r="M132" s="4" t="str">
        <f t="shared" si="20"/>
        <v>N9</v>
      </c>
      <c r="N132" s="4" t="s">
        <v>42</v>
      </c>
      <c r="O132" s="4">
        <v>166</v>
      </c>
      <c r="P132">
        <v>143</v>
      </c>
      <c r="Q132" t="s">
        <v>28</v>
      </c>
      <c r="R132" t="b">
        <f t="shared" si="21"/>
        <v>1</v>
      </c>
      <c r="S132" s="4" t="s">
        <v>306</v>
      </c>
      <c r="T132" s="3">
        <v>3222</v>
      </c>
      <c r="U132" s="4" t="s">
        <v>25</v>
      </c>
      <c r="V132" s="5">
        <v>23.827000000000002</v>
      </c>
      <c r="W132" s="5">
        <v>25.939</v>
      </c>
      <c r="X132" s="3" t="s">
        <v>307</v>
      </c>
      <c r="Y132" s="12">
        <f t="shared" si="22"/>
        <v>-2.1119999999999983</v>
      </c>
      <c r="AA132" t="b">
        <f t="shared" si="23"/>
        <v>1</v>
      </c>
      <c r="AB132" s="19" t="s">
        <v>1028</v>
      </c>
      <c r="AC132" s="19" t="s">
        <v>306</v>
      </c>
      <c r="AD132" s="31">
        <v>492.64</v>
      </c>
      <c r="AE132" s="3"/>
      <c r="AF132" s="3">
        <v>4987</v>
      </c>
      <c r="AG132" s="28">
        <v>8990</v>
      </c>
      <c r="AH132" s="3" t="s">
        <v>19</v>
      </c>
      <c r="AL132" s="3">
        <v>3222</v>
      </c>
      <c r="AM132" s="36">
        <v>492.64</v>
      </c>
      <c r="AN132" s="40">
        <f>(AM132-122)/3</f>
        <v>123.54666666666667</v>
      </c>
      <c r="AO132" s="40">
        <f>AN132*1.0425+1.2088</f>
        <v>130.00620000000001</v>
      </c>
      <c r="AP132" s="17"/>
      <c r="AQ132" s="3"/>
      <c r="AR132" s="3"/>
      <c r="AS132" s="4" t="s">
        <v>25</v>
      </c>
    </row>
    <row r="133" spans="1:45" x14ac:dyDescent="0.25">
      <c r="A133" s="4"/>
      <c r="B133" s="4"/>
      <c r="C133" s="4">
        <v>369</v>
      </c>
      <c r="D133" s="4" t="s">
        <v>308</v>
      </c>
      <c r="E133" s="5">
        <v>27.145</v>
      </c>
      <c r="F133" s="5">
        <v>24.812999999999999</v>
      </c>
      <c r="G133" s="13" t="s">
        <v>24</v>
      </c>
      <c r="H133" s="5" t="s">
        <v>24</v>
      </c>
      <c r="I133" s="4" t="s">
        <v>25</v>
      </c>
      <c r="J133" s="4"/>
      <c r="K133" s="4" t="s">
        <v>76</v>
      </c>
      <c r="L133" s="4">
        <v>9</v>
      </c>
      <c r="M133" s="4" t="str">
        <f t="shared" si="20"/>
        <v>P9</v>
      </c>
      <c r="N133" s="4" t="s">
        <v>42</v>
      </c>
      <c r="O133" s="4">
        <v>168</v>
      </c>
      <c r="P133">
        <v>144</v>
      </c>
      <c r="Q133" t="s">
        <v>28</v>
      </c>
      <c r="R133" t="b">
        <f t="shared" si="21"/>
        <v>1</v>
      </c>
      <c r="S133" s="4" t="s">
        <v>308</v>
      </c>
      <c r="T133" s="3">
        <v>3223</v>
      </c>
      <c r="U133" s="4" t="s">
        <v>25</v>
      </c>
      <c r="V133" s="5">
        <v>27.145</v>
      </c>
      <c r="W133" s="5">
        <v>24.812999999999999</v>
      </c>
      <c r="X133" s="3" t="s">
        <v>309</v>
      </c>
      <c r="Y133" s="12">
        <f t="shared" si="22"/>
        <v>2.3320000000000007</v>
      </c>
      <c r="AA133" t="b">
        <f t="shared" si="23"/>
        <v>1</v>
      </c>
      <c r="AB133" s="19" t="s">
        <v>1029</v>
      </c>
      <c r="AC133" s="19" t="s">
        <v>308</v>
      </c>
      <c r="AD133" s="29">
        <v>552.02</v>
      </c>
      <c r="AE133" s="29">
        <v>569.41</v>
      </c>
      <c r="AF133" s="28">
        <v>228</v>
      </c>
      <c r="AG133" s="28">
        <v>4734</v>
      </c>
      <c r="AH133" s="29"/>
      <c r="AL133" s="3">
        <v>3223</v>
      </c>
      <c r="AM133" s="37">
        <v>552.02</v>
      </c>
      <c r="AN133" s="40">
        <f>(AM133-122)/3</f>
        <v>143.34</v>
      </c>
      <c r="AO133" s="40">
        <f>AN133*1.0425+1.2088</f>
        <v>150.64075</v>
      </c>
      <c r="AP133" s="37">
        <v>569.41</v>
      </c>
      <c r="AQ133" s="40">
        <f>(AP133-122)/3</f>
        <v>149.13666666666666</v>
      </c>
      <c r="AR133" s="40">
        <f>AQ133*1.0425+1.2088</f>
        <v>156.68377499999997</v>
      </c>
      <c r="AS133" s="4" t="s">
        <v>25</v>
      </c>
    </row>
    <row r="134" spans="1:45" x14ac:dyDescent="0.25">
      <c r="A134" s="4"/>
      <c r="B134" s="4"/>
      <c r="C134" s="4">
        <v>10</v>
      </c>
      <c r="D134" s="4" t="s">
        <v>310</v>
      </c>
      <c r="E134" s="5">
        <v>24.309000000000001</v>
      </c>
      <c r="F134" s="5">
        <v>39.936999999999998</v>
      </c>
      <c r="G134" s="13" t="s">
        <v>24</v>
      </c>
      <c r="H134" s="5" t="s">
        <v>19</v>
      </c>
      <c r="I134" s="5" t="s">
        <v>31</v>
      </c>
      <c r="J134" s="4"/>
      <c r="K134" s="4" t="s">
        <v>26</v>
      </c>
      <c r="L134" s="4">
        <v>10</v>
      </c>
      <c r="M134" s="4" t="str">
        <f t="shared" si="20"/>
        <v>A10</v>
      </c>
      <c r="N134" s="4" t="s">
        <v>27</v>
      </c>
      <c r="O134" s="4">
        <v>73</v>
      </c>
      <c r="P134">
        <v>145</v>
      </c>
      <c r="Q134" t="s">
        <v>28</v>
      </c>
      <c r="R134" t="b">
        <f t="shared" si="21"/>
        <v>1</v>
      </c>
      <c r="S134" s="4" t="s">
        <v>310</v>
      </c>
      <c r="T134" s="3">
        <v>3224</v>
      </c>
      <c r="U134" s="5" t="s">
        <v>31</v>
      </c>
      <c r="V134" s="5">
        <v>24.309000000000001</v>
      </c>
      <c r="W134" s="5">
        <v>39.936999999999998</v>
      </c>
      <c r="X134" s="3" t="s">
        <v>311</v>
      </c>
      <c r="Y134" s="12">
        <f t="shared" si="22"/>
        <v>-15.627999999999997</v>
      </c>
      <c r="AA134" t="b">
        <f t="shared" si="23"/>
        <v>1</v>
      </c>
      <c r="AB134" s="19" t="s">
        <v>1030</v>
      </c>
      <c r="AC134" s="19" t="s">
        <v>310</v>
      </c>
      <c r="AD134" s="29"/>
      <c r="AE134" s="29"/>
      <c r="AF134" s="28"/>
      <c r="AG134" s="28"/>
      <c r="AH134" s="29"/>
      <c r="AL134" s="3">
        <v>3224</v>
      </c>
      <c r="AM134" s="37"/>
      <c r="AN134" s="17"/>
      <c r="AO134" s="17"/>
      <c r="AP134" s="37"/>
      <c r="AQ134" s="3"/>
      <c r="AR134" s="3"/>
      <c r="AS134" s="5" t="s">
        <v>31</v>
      </c>
    </row>
    <row r="135" spans="1:45" x14ac:dyDescent="0.25">
      <c r="A135" s="4"/>
      <c r="B135" s="4"/>
      <c r="C135" s="4">
        <v>58</v>
      </c>
      <c r="D135" s="4" t="s">
        <v>312</v>
      </c>
      <c r="E135" s="5">
        <v>24.492999999999999</v>
      </c>
      <c r="F135" s="5" t="s">
        <v>31</v>
      </c>
      <c r="G135" s="13" t="s">
        <v>24</v>
      </c>
      <c r="H135" s="5" t="s">
        <v>31</v>
      </c>
      <c r="I135" s="4" t="s">
        <v>31</v>
      </c>
      <c r="J135" s="4"/>
      <c r="K135" s="4" t="s">
        <v>32</v>
      </c>
      <c r="L135" s="4">
        <v>10</v>
      </c>
      <c r="M135" s="4" t="str">
        <f t="shared" si="20"/>
        <v>C10</v>
      </c>
      <c r="N135" s="4" t="s">
        <v>27</v>
      </c>
      <c r="O135" s="4">
        <v>75</v>
      </c>
      <c r="P135">
        <v>146</v>
      </c>
      <c r="Q135" t="s">
        <v>28</v>
      </c>
      <c r="R135" t="b">
        <f t="shared" si="21"/>
        <v>1</v>
      </c>
      <c r="S135" s="4" t="s">
        <v>312</v>
      </c>
      <c r="T135" s="3">
        <v>3225</v>
      </c>
      <c r="U135" s="4" t="s">
        <v>31</v>
      </c>
      <c r="V135" s="5">
        <v>24.492999999999999</v>
      </c>
      <c r="W135" s="5" t="s">
        <v>31</v>
      </c>
      <c r="X135" s="3" t="s">
        <v>313</v>
      </c>
      <c r="Y135" s="12" t="e">
        <f t="shared" si="22"/>
        <v>#VALUE!</v>
      </c>
      <c r="AA135" t="b">
        <f t="shared" si="23"/>
        <v>1</v>
      </c>
      <c r="AB135" s="19" t="s">
        <v>1031</v>
      </c>
      <c r="AC135" s="19" t="s">
        <v>312</v>
      </c>
      <c r="AD135" s="29"/>
      <c r="AE135" s="29"/>
      <c r="AF135" s="28"/>
      <c r="AG135" s="28"/>
      <c r="AH135" s="29"/>
      <c r="AL135" s="3">
        <v>3225</v>
      </c>
      <c r="AM135" s="37"/>
      <c r="AN135" s="17"/>
      <c r="AO135" s="17"/>
      <c r="AP135" s="37"/>
      <c r="AQ135" s="3"/>
      <c r="AR135" s="3"/>
      <c r="AS135" s="4" t="s">
        <v>31</v>
      </c>
    </row>
    <row r="136" spans="1:45" x14ac:dyDescent="0.25">
      <c r="A136" s="4"/>
      <c r="B136" s="4"/>
      <c r="C136" s="4">
        <v>106</v>
      </c>
      <c r="D136" s="4" t="s">
        <v>314</v>
      </c>
      <c r="E136" s="5">
        <v>23.282</v>
      </c>
      <c r="F136" s="5">
        <v>25.49</v>
      </c>
      <c r="G136" s="13" t="s">
        <v>24</v>
      </c>
      <c r="H136" s="5" t="s">
        <v>24</v>
      </c>
      <c r="I136" s="4" t="s">
        <v>25</v>
      </c>
      <c r="J136" s="4"/>
      <c r="K136" s="4" t="s">
        <v>35</v>
      </c>
      <c r="L136" s="4">
        <v>10</v>
      </c>
      <c r="M136" s="4" t="str">
        <f t="shared" si="20"/>
        <v>E10</v>
      </c>
      <c r="N136" s="4" t="s">
        <v>27</v>
      </c>
      <c r="O136" s="4">
        <v>77</v>
      </c>
      <c r="P136">
        <v>147</v>
      </c>
      <c r="Q136" t="s">
        <v>28</v>
      </c>
      <c r="R136" t="b">
        <f t="shared" si="21"/>
        <v>1</v>
      </c>
      <c r="S136" s="4" t="s">
        <v>314</v>
      </c>
      <c r="T136" s="3">
        <v>3226</v>
      </c>
      <c r="U136" s="4" t="s">
        <v>25</v>
      </c>
      <c r="V136" s="5">
        <v>23.282</v>
      </c>
      <c r="W136" s="5">
        <v>25.49</v>
      </c>
      <c r="X136" s="3" t="s">
        <v>315</v>
      </c>
      <c r="Y136" s="12">
        <f t="shared" si="22"/>
        <v>-2.2079999999999984</v>
      </c>
      <c r="AA136" t="b">
        <f t="shared" si="23"/>
        <v>1</v>
      </c>
      <c r="AB136" s="19" t="s">
        <v>1032</v>
      </c>
      <c r="AC136" s="19" t="s">
        <v>314</v>
      </c>
      <c r="AD136" s="29">
        <v>563.83000000000004</v>
      </c>
      <c r="AE136" s="29"/>
      <c r="AF136" s="28">
        <v>162</v>
      </c>
      <c r="AG136" s="28">
        <v>3352</v>
      </c>
      <c r="AH136" s="29"/>
      <c r="AL136" s="3">
        <v>3226</v>
      </c>
      <c r="AM136" s="37">
        <v>563.83000000000004</v>
      </c>
      <c r="AN136" s="40">
        <f>(AM136-122)/3</f>
        <v>147.27666666666667</v>
      </c>
      <c r="AO136" s="40">
        <f>AN136*1.0425+1.2088</f>
        <v>154.74472499999999</v>
      </c>
      <c r="AP136" s="37"/>
      <c r="AQ136" s="3"/>
      <c r="AR136" s="3"/>
      <c r="AS136" s="4" t="s">
        <v>25</v>
      </c>
    </row>
    <row r="137" spans="1:45" x14ac:dyDescent="0.25">
      <c r="A137" s="4"/>
      <c r="B137" s="4"/>
      <c r="C137" s="4">
        <v>154</v>
      </c>
      <c r="D137" s="4" t="s">
        <v>316</v>
      </c>
      <c r="E137" s="5">
        <v>23.939</v>
      </c>
      <c r="F137" s="5">
        <v>25.843</v>
      </c>
      <c r="G137" s="13" t="s">
        <v>24</v>
      </c>
      <c r="H137" s="5" t="s">
        <v>24</v>
      </c>
      <c r="I137" s="4" t="s">
        <v>25</v>
      </c>
      <c r="J137" s="4"/>
      <c r="K137" s="4" t="s">
        <v>38</v>
      </c>
      <c r="L137" s="4">
        <v>10</v>
      </c>
      <c r="M137" s="4" t="str">
        <f t="shared" si="20"/>
        <v>G10</v>
      </c>
      <c r="N137" s="4" t="s">
        <v>27</v>
      </c>
      <c r="O137" s="4">
        <v>79</v>
      </c>
      <c r="P137">
        <v>148</v>
      </c>
      <c r="Q137" t="s">
        <v>28</v>
      </c>
      <c r="R137" t="b">
        <f t="shared" si="21"/>
        <v>1</v>
      </c>
      <c r="S137" s="4" t="s">
        <v>316</v>
      </c>
      <c r="T137" s="3">
        <v>3227</v>
      </c>
      <c r="U137" s="4" t="s">
        <v>25</v>
      </c>
      <c r="V137" s="5">
        <v>23.939</v>
      </c>
      <c r="W137" s="5">
        <v>25.843</v>
      </c>
      <c r="X137" s="3" t="s">
        <v>317</v>
      </c>
      <c r="Y137" s="12">
        <f t="shared" si="22"/>
        <v>-1.9039999999999999</v>
      </c>
      <c r="AA137" t="b">
        <f t="shared" si="23"/>
        <v>1</v>
      </c>
      <c r="AB137" s="19" t="s">
        <v>1033</v>
      </c>
      <c r="AC137" s="19" t="s">
        <v>316</v>
      </c>
      <c r="AD137" s="29">
        <v>549.36</v>
      </c>
      <c r="AE137" s="29"/>
      <c r="AF137" s="28">
        <v>506</v>
      </c>
      <c r="AG137" s="28">
        <v>10325</v>
      </c>
      <c r="AH137" s="29"/>
      <c r="AL137" s="3">
        <v>3227</v>
      </c>
      <c r="AM137" s="37">
        <v>549.36</v>
      </c>
      <c r="AN137" s="40">
        <f>(AM137-122)/3</f>
        <v>142.45333333333335</v>
      </c>
      <c r="AO137" s="40">
        <f>AN137*1.0425+1.2088</f>
        <v>149.71640000000002</v>
      </c>
      <c r="AP137" s="37"/>
      <c r="AQ137" s="3"/>
      <c r="AR137" s="3"/>
      <c r="AS137" s="4" t="s">
        <v>25</v>
      </c>
    </row>
    <row r="138" spans="1:45" x14ac:dyDescent="0.25">
      <c r="A138" s="4"/>
      <c r="B138" s="4"/>
      <c r="C138" s="4">
        <v>202</v>
      </c>
      <c r="D138" s="4" t="s">
        <v>318</v>
      </c>
      <c r="E138" s="5">
        <v>22.774999999999999</v>
      </c>
      <c r="F138" s="5" t="s">
        <v>31</v>
      </c>
      <c r="G138" s="13" t="s">
        <v>24</v>
      </c>
      <c r="H138" s="5" t="s">
        <v>31</v>
      </c>
      <c r="I138" s="4" t="s">
        <v>31</v>
      </c>
      <c r="J138" s="4"/>
      <c r="K138" s="4" t="s">
        <v>41</v>
      </c>
      <c r="L138" s="4">
        <v>10</v>
      </c>
      <c r="M138" s="4" t="str">
        <f t="shared" si="20"/>
        <v>I10</v>
      </c>
      <c r="N138" s="4" t="s">
        <v>42</v>
      </c>
      <c r="O138" s="4">
        <v>169</v>
      </c>
      <c r="P138">
        <v>149</v>
      </c>
      <c r="Q138" t="s">
        <v>28</v>
      </c>
      <c r="R138" t="b">
        <f t="shared" si="21"/>
        <v>1</v>
      </c>
      <c r="S138" s="4" t="s">
        <v>318</v>
      </c>
      <c r="T138" s="3">
        <v>3228</v>
      </c>
      <c r="U138" s="4" t="s">
        <v>31</v>
      </c>
      <c r="V138" s="5">
        <v>22.774999999999999</v>
      </c>
      <c r="W138" s="5" t="s">
        <v>31</v>
      </c>
      <c r="X138" s="3" t="s">
        <v>319</v>
      </c>
      <c r="Y138" s="12" t="e">
        <f t="shared" si="22"/>
        <v>#VALUE!</v>
      </c>
      <c r="AA138" t="b">
        <f t="shared" si="23"/>
        <v>1</v>
      </c>
      <c r="AB138" s="19" t="s">
        <v>1034</v>
      </c>
      <c r="AC138" s="19" t="s">
        <v>318</v>
      </c>
      <c r="AD138" s="29"/>
      <c r="AE138" s="29"/>
      <c r="AF138" s="28"/>
      <c r="AG138" s="28"/>
      <c r="AH138" s="29"/>
      <c r="AL138" s="3">
        <v>3228</v>
      </c>
      <c r="AM138" s="37"/>
      <c r="AN138" s="17"/>
      <c r="AO138" s="17"/>
      <c r="AP138" s="37"/>
      <c r="AQ138" s="3"/>
      <c r="AR138" s="3"/>
      <c r="AS138" s="4" t="s">
        <v>31</v>
      </c>
    </row>
    <row r="139" spans="1:45" x14ac:dyDescent="0.25">
      <c r="A139" s="4"/>
      <c r="B139" s="4"/>
      <c r="C139" s="4">
        <v>250</v>
      </c>
      <c r="D139" s="4" t="s">
        <v>320</v>
      </c>
      <c r="E139" s="5">
        <v>22.87</v>
      </c>
      <c r="F139" s="5" t="s">
        <v>31</v>
      </c>
      <c r="G139" s="13" t="s">
        <v>24</v>
      </c>
      <c r="H139" s="5" t="s">
        <v>31</v>
      </c>
      <c r="I139" s="4" t="s">
        <v>31</v>
      </c>
      <c r="J139" s="4"/>
      <c r="K139" s="4" t="s">
        <v>45</v>
      </c>
      <c r="L139" s="4">
        <v>10</v>
      </c>
      <c r="M139" s="4" t="str">
        <f t="shared" si="20"/>
        <v>K10</v>
      </c>
      <c r="N139" s="4" t="s">
        <v>42</v>
      </c>
      <c r="O139" s="4">
        <v>171</v>
      </c>
      <c r="P139">
        <v>150</v>
      </c>
      <c r="Q139" t="s">
        <v>28</v>
      </c>
      <c r="R139" t="b">
        <f t="shared" si="21"/>
        <v>1</v>
      </c>
      <c r="S139" s="4" t="s">
        <v>320</v>
      </c>
      <c r="T139" s="3">
        <v>3229</v>
      </c>
      <c r="U139" s="4" t="s">
        <v>31</v>
      </c>
      <c r="V139" s="5">
        <v>22.87</v>
      </c>
      <c r="W139" s="5" t="s">
        <v>31</v>
      </c>
      <c r="X139" s="3" t="s">
        <v>321</v>
      </c>
      <c r="Y139" s="12" t="e">
        <f t="shared" si="22"/>
        <v>#VALUE!</v>
      </c>
      <c r="AA139" t="b">
        <f t="shared" si="23"/>
        <v>1</v>
      </c>
      <c r="AB139" s="19" t="s">
        <v>1035</v>
      </c>
      <c r="AC139" s="19" t="s">
        <v>320</v>
      </c>
      <c r="AD139" s="29"/>
      <c r="AE139" s="29"/>
      <c r="AF139" s="28"/>
      <c r="AG139" s="28"/>
      <c r="AH139" s="29"/>
      <c r="AL139" s="3">
        <v>3229</v>
      </c>
      <c r="AM139" s="37"/>
      <c r="AN139" s="17"/>
      <c r="AO139" s="17"/>
      <c r="AP139" s="37"/>
      <c r="AQ139" s="3"/>
      <c r="AR139" s="3"/>
      <c r="AS139" s="4" t="s">
        <v>31</v>
      </c>
    </row>
    <row r="140" spans="1:45" x14ac:dyDescent="0.25">
      <c r="A140" s="4"/>
      <c r="B140" s="4"/>
      <c r="C140" s="4">
        <v>298</v>
      </c>
      <c r="D140" s="4" t="s">
        <v>322</v>
      </c>
      <c r="E140" s="5">
        <v>22.305</v>
      </c>
      <c r="F140" s="5" t="s">
        <v>31</v>
      </c>
      <c r="G140" s="13" t="s">
        <v>24</v>
      </c>
      <c r="H140" s="5" t="s">
        <v>31</v>
      </c>
      <c r="I140" s="4" t="s">
        <v>31</v>
      </c>
      <c r="J140" s="4"/>
      <c r="K140" s="4" t="s">
        <v>48</v>
      </c>
      <c r="L140" s="4">
        <v>10</v>
      </c>
      <c r="M140" s="4" t="str">
        <f t="shared" si="20"/>
        <v>M10</v>
      </c>
      <c r="N140" s="4" t="s">
        <v>42</v>
      </c>
      <c r="O140" s="4">
        <v>173</v>
      </c>
      <c r="P140">
        <v>151</v>
      </c>
      <c r="Q140" t="s">
        <v>28</v>
      </c>
      <c r="R140" t="b">
        <f t="shared" si="21"/>
        <v>1</v>
      </c>
      <c r="S140" s="4" t="s">
        <v>322</v>
      </c>
      <c r="T140" s="3">
        <v>3230</v>
      </c>
      <c r="U140" s="4" t="s">
        <v>31</v>
      </c>
      <c r="V140" s="5">
        <v>22.305</v>
      </c>
      <c r="W140" s="5" t="s">
        <v>31</v>
      </c>
      <c r="X140" s="3" t="s">
        <v>323</v>
      </c>
      <c r="Y140" s="12" t="e">
        <f t="shared" si="22"/>
        <v>#VALUE!</v>
      </c>
      <c r="AA140" t="b">
        <f t="shared" si="23"/>
        <v>1</v>
      </c>
      <c r="AB140" s="19" t="s">
        <v>1036</v>
      </c>
      <c r="AC140" s="19" t="s">
        <v>322</v>
      </c>
      <c r="AD140" s="29"/>
      <c r="AE140" s="29"/>
      <c r="AF140" s="28"/>
      <c r="AG140" s="28"/>
      <c r="AH140" s="29"/>
      <c r="AL140" s="3">
        <v>3230</v>
      </c>
      <c r="AM140" s="37"/>
      <c r="AN140" s="17"/>
      <c r="AO140" s="17"/>
      <c r="AP140" s="37"/>
      <c r="AQ140" s="3"/>
      <c r="AR140" s="3"/>
      <c r="AS140" s="4" t="s">
        <v>31</v>
      </c>
    </row>
    <row r="141" spans="1:45" x14ac:dyDescent="0.25">
      <c r="A141" s="4"/>
      <c r="B141" s="4"/>
      <c r="C141" s="4">
        <v>346</v>
      </c>
      <c r="D141" s="4" t="s">
        <v>324</v>
      </c>
      <c r="E141" s="5">
        <v>23.722000000000001</v>
      </c>
      <c r="F141" s="5">
        <v>25.838000000000001</v>
      </c>
      <c r="G141" s="13" t="s">
        <v>24</v>
      </c>
      <c r="H141" s="5" t="s">
        <v>24</v>
      </c>
      <c r="I141" s="4" t="s">
        <v>25</v>
      </c>
      <c r="J141" s="4"/>
      <c r="K141" s="4" t="s">
        <v>51</v>
      </c>
      <c r="L141" s="4">
        <v>10</v>
      </c>
      <c r="M141" s="4" t="str">
        <f t="shared" si="20"/>
        <v>O10</v>
      </c>
      <c r="N141" s="4" t="s">
        <v>42</v>
      </c>
      <c r="O141" s="4">
        <v>175</v>
      </c>
      <c r="P141">
        <v>152</v>
      </c>
      <c r="Q141" t="s">
        <v>28</v>
      </c>
      <c r="R141" t="b">
        <f t="shared" si="21"/>
        <v>1</v>
      </c>
      <c r="S141" s="4" t="s">
        <v>324</v>
      </c>
      <c r="T141" s="3">
        <v>3231</v>
      </c>
      <c r="U141" s="4" t="s">
        <v>25</v>
      </c>
      <c r="V141" s="5">
        <v>23.722000000000001</v>
      </c>
      <c r="W141" s="5">
        <v>25.838000000000001</v>
      </c>
      <c r="X141" s="3" t="s">
        <v>325</v>
      </c>
      <c r="Y141" s="12">
        <f t="shared" si="22"/>
        <v>-2.1159999999999997</v>
      </c>
      <c r="AA141" t="b">
        <f t="shared" si="23"/>
        <v>1</v>
      </c>
      <c r="AB141" s="19" t="s">
        <v>1037</v>
      </c>
      <c r="AC141" s="19" t="s">
        <v>324</v>
      </c>
      <c r="AD141" s="29">
        <v>560.52</v>
      </c>
      <c r="AE141" s="29"/>
      <c r="AF141" s="28">
        <v>152</v>
      </c>
      <c r="AG141" s="28">
        <v>3314</v>
      </c>
      <c r="AH141" s="29"/>
      <c r="AL141" s="3">
        <v>3231</v>
      </c>
      <c r="AM141" s="37">
        <v>560.52</v>
      </c>
      <c r="AN141" s="40">
        <f t="shared" ref="AN141:AN146" si="24">(AM141-122)/3</f>
        <v>146.17333333333332</v>
      </c>
      <c r="AO141" s="40">
        <f t="shared" ref="AO141:AO146" si="25">AN141*1.0425+1.2088</f>
        <v>153.59449999999998</v>
      </c>
      <c r="AP141" s="37"/>
      <c r="AQ141" s="3"/>
      <c r="AR141" s="3"/>
      <c r="AS141" s="4" t="s">
        <v>25</v>
      </c>
    </row>
    <row r="142" spans="1:45" x14ac:dyDescent="0.25">
      <c r="A142" s="4"/>
      <c r="B142" s="4"/>
      <c r="C142" s="4">
        <v>34</v>
      </c>
      <c r="D142" s="4" t="s">
        <v>326</v>
      </c>
      <c r="E142" s="5">
        <v>23.584</v>
      </c>
      <c r="F142" s="5">
        <v>25.515999999999998</v>
      </c>
      <c r="G142" s="13" t="s">
        <v>24</v>
      </c>
      <c r="H142" s="5" t="s">
        <v>24</v>
      </c>
      <c r="I142" s="4" t="s">
        <v>25</v>
      </c>
      <c r="J142" s="4"/>
      <c r="K142" s="4" t="s">
        <v>54</v>
      </c>
      <c r="L142" s="4">
        <v>10</v>
      </c>
      <c r="M142" s="4" t="str">
        <f t="shared" si="20"/>
        <v>B10</v>
      </c>
      <c r="N142" s="4" t="s">
        <v>27</v>
      </c>
      <c r="O142" s="4">
        <v>74</v>
      </c>
      <c r="P142">
        <v>153</v>
      </c>
      <c r="Q142" t="s">
        <v>28</v>
      </c>
      <c r="R142" t="b">
        <f t="shared" si="21"/>
        <v>1</v>
      </c>
      <c r="S142" s="4" t="s">
        <v>326</v>
      </c>
      <c r="T142" s="3">
        <v>3232</v>
      </c>
      <c r="U142" s="4" t="s">
        <v>25</v>
      </c>
      <c r="V142" s="5">
        <v>23.584</v>
      </c>
      <c r="W142" s="5">
        <v>25.515999999999998</v>
      </c>
      <c r="X142" s="3" t="s">
        <v>327</v>
      </c>
      <c r="Y142" s="12">
        <f t="shared" si="22"/>
        <v>-1.9319999999999986</v>
      </c>
      <c r="AA142" t="b">
        <f t="shared" si="23"/>
        <v>1</v>
      </c>
      <c r="AB142" s="19" t="s">
        <v>1038</v>
      </c>
      <c r="AC142" s="19" t="s">
        <v>326</v>
      </c>
      <c r="AD142" s="29">
        <v>569.34</v>
      </c>
      <c r="AE142" s="29"/>
      <c r="AF142" s="28">
        <v>191</v>
      </c>
      <c r="AG142" s="28">
        <v>4355</v>
      </c>
      <c r="AH142" s="29"/>
      <c r="AL142" s="3">
        <v>3232</v>
      </c>
      <c r="AM142" s="37">
        <v>569.34</v>
      </c>
      <c r="AN142" s="40">
        <f t="shared" si="24"/>
        <v>149.11333333333334</v>
      </c>
      <c r="AO142" s="40">
        <f t="shared" si="25"/>
        <v>156.65944999999999</v>
      </c>
      <c r="AP142" s="37"/>
      <c r="AQ142" s="3"/>
      <c r="AR142" s="3"/>
      <c r="AS142" s="4" t="s">
        <v>25</v>
      </c>
    </row>
    <row r="143" spans="1:45" x14ac:dyDescent="0.25">
      <c r="A143" s="4"/>
      <c r="B143" s="4"/>
      <c r="C143" s="4">
        <v>82</v>
      </c>
      <c r="D143" s="4" t="s">
        <v>328</v>
      </c>
      <c r="E143" s="5">
        <v>23.077999999999999</v>
      </c>
      <c r="F143" s="5">
        <v>25.196999999999999</v>
      </c>
      <c r="G143" s="13" t="s">
        <v>24</v>
      </c>
      <c r="H143" s="5" t="s">
        <v>24</v>
      </c>
      <c r="I143" s="4" t="s">
        <v>25</v>
      </c>
      <c r="J143" s="4"/>
      <c r="K143" s="4" t="s">
        <v>57</v>
      </c>
      <c r="L143" s="4">
        <v>10</v>
      </c>
      <c r="M143" s="4" t="str">
        <f t="shared" si="20"/>
        <v>D10</v>
      </c>
      <c r="N143" s="4" t="s">
        <v>27</v>
      </c>
      <c r="O143" s="4">
        <v>76</v>
      </c>
      <c r="P143">
        <v>154</v>
      </c>
      <c r="Q143" t="s">
        <v>28</v>
      </c>
      <c r="R143" t="b">
        <f t="shared" si="21"/>
        <v>1</v>
      </c>
      <c r="S143" s="4" t="s">
        <v>328</v>
      </c>
      <c r="T143" s="3">
        <v>3233</v>
      </c>
      <c r="U143" s="4" t="s">
        <v>25</v>
      </c>
      <c r="V143" s="5">
        <v>23.077999999999999</v>
      </c>
      <c r="W143" s="5">
        <v>25.196999999999999</v>
      </c>
      <c r="X143" s="3" t="s">
        <v>329</v>
      </c>
      <c r="Y143" s="12">
        <f t="shared" si="22"/>
        <v>-2.1189999999999998</v>
      </c>
      <c r="AA143" t="b">
        <f t="shared" si="23"/>
        <v>1</v>
      </c>
      <c r="AB143" s="19" t="s">
        <v>1039</v>
      </c>
      <c r="AC143" s="19" t="s">
        <v>328</v>
      </c>
      <c r="AD143" s="29">
        <v>560.78</v>
      </c>
      <c r="AE143" s="29"/>
      <c r="AF143" s="28">
        <v>196</v>
      </c>
      <c r="AG143" s="28">
        <v>4040</v>
      </c>
      <c r="AH143" s="29"/>
      <c r="AL143" s="3">
        <v>3233</v>
      </c>
      <c r="AM143" s="37">
        <v>560.78</v>
      </c>
      <c r="AN143" s="40">
        <f t="shared" si="24"/>
        <v>146.26</v>
      </c>
      <c r="AO143" s="40">
        <f t="shared" si="25"/>
        <v>153.68484999999998</v>
      </c>
      <c r="AP143" s="37"/>
      <c r="AQ143" s="3"/>
      <c r="AR143" s="3"/>
      <c r="AS143" s="4" t="s">
        <v>25</v>
      </c>
    </row>
    <row r="144" spans="1:45" x14ac:dyDescent="0.25">
      <c r="A144" s="4"/>
      <c r="B144" s="4"/>
      <c r="C144" s="4">
        <v>130</v>
      </c>
      <c r="D144" s="4" t="s">
        <v>330</v>
      </c>
      <c r="E144" s="5">
        <v>34.957000000000001</v>
      </c>
      <c r="F144" s="5">
        <v>24.55</v>
      </c>
      <c r="G144" s="13" t="s">
        <v>19</v>
      </c>
      <c r="H144" s="5" t="s">
        <v>24</v>
      </c>
      <c r="I144" s="4" t="s">
        <v>63</v>
      </c>
      <c r="J144" s="4"/>
      <c r="K144" s="4" t="s">
        <v>60</v>
      </c>
      <c r="L144" s="4">
        <v>10</v>
      </c>
      <c r="M144" s="4" t="str">
        <f t="shared" si="20"/>
        <v>F10</v>
      </c>
      <c r="N144" s="4" t="s">
        <v>27</v>
      </c>
      <c r="O144" s="4">
        <v>78</v>
      </c>
      <c r="P144">
        <v>155</v>
      </c>
      <c r="Q144" t="s">
        <v>28</v>
      </c>
      <c r="R144" t="b">
        <f t="shared" si="21"/>
        <v>1</v>
      </c>
      <c r="S144" s="4" t="s">
        <v>330</v>
      </c>
      <c r="T144" s="3">
        <v>3234</v>
      </c>
      <c r="U144" s="4" t="s">
        <v>63</v>
      </c>
      <c r="V144" s="5">
        <v>34.957000000000001</v>
      </c>
      <c r="W144" s="5">
        <v>24.55</v>
      </c>
      <c r="X144" s="3" t="s">
        <v>331</v>
      </c>
      <c r="Y144" s="12">
        <f t="shared" si="22"/>
        <v>10.407</v>
      </c>
      <c r="AA144" t="b">
        <f t="shared" si="23"/>
        <v>1</v>
      </c>
      <c r="AB144" s="19" t="s">
        <v>1040</v>
      </c>
      <c r="AC144" s="19" t="s">
        <v>330</v>
      </c>
      <c r="AD144" s="29">
        <v>560.79</v>
      </c>
      <c r="AE144" s="29"/>
      <c r="AF144" s="28">
        <v>256</v>
      </c>
      <c r="AG144" s="28">
        <v>5494</v>
      </c>
      <c r="AH144" s="29"/>
      <c r="AL144" s="3">
        <v>3234</v>
      </c>
      <c r="AM144" s="37">
        <v>560.79</v>
      </c>
      <c r="AN144" s="40">
        <f t="shared" si="24"/>
        <v>146.26333333333332</v>
      </c>
      <c r="AO144" s="40">
        <f t="shared" si="25"/>
        <v>153.68832499999999</v>
      </c>
      <c r="AP144" s="37"/>
      <c r="AQ144" s="3"/>
      <c r="AR144" s="3"/>
      <c r="AS144" s="4" t="s">
        <v>63</v>
      </c>
    </row>
    <row r="145" spans="1:45" x14ac:dyDescent="0.25">
      <c r="A145" s="4"/>
      <c r="B145" s="4"/>
      <c r="C145" s="4">
        <v>178</v>
      </c>
      <c r="D145" s="4" t="s">
        <v>332</v>
      </c>
      <c r="E145" s="5">
        <v>38.369</v>
      </c>
      <c r="F145" s="5">
        <v>24.728000000000002</v>
      </c>
      <c r="G145" s="13" t="s">
        <v>19</v>
      </c>
      <c r="H145" s="5" t="s">
        <v>24</v>
      </c>
      <c r="I145" s="4" t="s">
        <v>63</v>
      </c>
      <c r="J145" s="4"/>
      <c r="K145" s="4" t="s">
        <v>64</v>
      </c>
      <c r="L145" s="4">
        <v>10</v>
      </c>
      <c r="M145" s="4" t="str">
        <f t="shared" si="20"/>
        <v>H10</v>
      </c>
      <c r="N145" s="4" t="s">
        <v>27</v>
      </c>
      <c r="O145" s="4">
        <v>80</v>
      </c>
      <c r="P145">
        <v>156</v>
      </c>
      <c r="Q145" t="s">
        <v>28</v>
      </c>
      <c r="R145" t="b">
        <f t="shared" si="21"/>
        <v>1</v>
      </c>
      <c r="S145" s="4" t="s">
        <v>332</v>
      </c>
      <c r="T145" s="3">
        <v>3235</v>
      </c>
      <c r="U145" s="4" t="s">
        <v>63</v>
      </c>
      <c r="V145" s="5">
        <v>38.369</v>
      </c>
      <c r="W145" s="5">
        <v>24.728000000000002</v>
      </c>
      <c r="X145" s="3" t="s">
        <v>333</v>
      </c>
      <c r="Y145" s="12">
        <f t="shared" si="22"/>
        <v>13.640999999999998</v>
      </c>
      <c r="AA145" t="b">
        <f t="shared" si="23"/>
        <v>1</v>
      </c>
      <c r="AB145" s="19" t="s">
        <v>1041</v>
      </c>
      <c r="AC145" s="19" t="s">
        <v>332</v>
      </c>
      <c r="AD145" s="29">
        <v>566.9</v>
      </c>
      <c r="AE145" s="29"/>
      <c r="AF145" s="28">
        <v>180</v>
      </c>
      <c r="AG145" s="28">
        <v>3687</v>
      </c>
      <c r="AH145" s="29"/>
      <c r="AL145" s="3">
        <v>3235</v>
      </c>
      <c r="AM145" s="37">
        <v>566.9</v>
      </c>
      <c r="AN145" s="40">
        <f t="shared" si="24"/>
        <v>148.29999999999998</v>
      </c>
      <c r="AO145" s="40">
        <f t="shared" si="25"/>
        <v>155.81154999999998</v>
      </c>
      <c r="AP145" s="37"/>
      <c r="AQ145" s="3"/>
      <c r="AR145" s="3"/>
      <c r="AS145" s="4" t="s">
        <v>63</v>
      </c>
    </row>
    <row r="146" spans="1:45" x14ac:dyDescent="0.25">
      <c r="A146" s="4"/>
      <c r="B146" s="4"/>
      <c r="C146" s="4">
        <v>226</v>
      </c>
      <c r="D146" s="4" t="s">
        <v>334</v>
      </c>
      <c r="E146" s="5">
        <v>23.885999999999999</v>
      </c>
      <c r="F146" s="5">
        <v>25.898</v>
      </c>
      <c r="G146" s="13" t="s">
        <v>24</v>
      </c>
      <c r="H146" s="5" t="s">
        <v>24</v>
      </c>
      <c r="I146" s="4" t="s">
        <v>25</v>
      </c>
      <c r="J146" s="4"/>
      <c r="K146" s="4" t="s">
        <v>67</v>
      </c>
      <c r="L146" s="4">
        <v>10</v>
      </c>
      <c r="M146" s="4" t="str">
        <f t="shared" si="20"/>
        <v>J10</v>
      </c>
      <c r="N146" s="4" t="s">
        <v>42</v>
      </c>
      <c r="O146" s="4">
        <v>170</v>
      </c>
      <c r="P146">
        <v>157</v>
      </c>
      <c r="Q146" t="s">
        <v>28</v>
      </c>
      <c r="R146" t="b">
        <f t="shared" si="21"/>
        <v>1</v>
      </c>
      <c r="S146" s="4" t="s">
        <v>334</v>
      </c>
      <c r="T146" s="3">
        <v>3236</v>
      </c>
      <c r="U146" s="4" t="s">
        <v>25</v>
      </c>
      <c r="V146" s="5">
        <v>23.885999999999999</v>
      </c>
      <c r="W146" s="5">
        <v>25.898</v>
      </c>
      <c r="X146" s="3" t="s">
        <v>335</v>
      </c>
      <c r="Y146" s="12">
        <f t="shared" si="22"/>
        <v>-2.0120000000000005</v>
      </c>
      <c r="AA146" t="b">
        <f t="shared" si="23"/>
        <v>1</v>
      </c>
      <c r="AB146" s="19" t="s">
        <v>1042</v>
      </c>
      <c r="AC146" s="19" t="s">
        <v>334</v>
      </c>
      <c r="AD146" s="29">
        <v>543.39</v>
      </c>
      <c r="AE146" s="29"/>
      <c r="AF146" s="28">
        <v>365</v>
      </c>
      <c r="AG146" s="28">
        <v>7759</v>
      </c>
      <c r="AH146" s="29"/>
      <c r="AL146" s="3">
        <v>3236</v>
      </c>
      <c r="AM146" s="37">
        <v>543.39</v>
      </c>
      <c r="AN146" s="40">
        <f t="shared" si="24"/>
        <v>140.46333333333334</v>
      </c>
      <c r="AO146" s="40">
        <f t="shared" si="25"/>
        <v>147.64182500000001</v>
      </c>
      <c r="AP146" s="37"/>
      <c r="AQ146" s="3"/>
      <c r="AR146" s="3"/>
      <c r="AS146" s="4" t="s">
        <v>25</v>
      </c>
    </row>
    <row r="147" spans="1:45" x14ac:dyDescent="0.25">
      <c r="A147" s="4"/>
      <c r="B147" s="4"/>
      <c r="C147" s="4">
        <v>274</v>
      </c>
      <c r="D147" s="4" t="s">
        <v>336</v>
      </c>
      <c r="E147" s="5">
        <v>22.446000000000002</v>
      </c>
      <c r="F147" s="5">
        <v>36.911999999999999</v>
      </c>
      <c r="G147" s="13" t="s">
        <v>24</v>
      </c>
      <c r="H147" s="5" t="s">
        <v>19</v>
      </c>
      <c r="I147" s="5" t="s">
        <v>31</v>
      </c>
      <c r="J147" s="4"/>
      <c r="K147" s="4" t="s">
        <v>70</v>
      </c>
      <c r="L147" s="4">
        <v>10</v>
      </c>
      <c r="M147" s="4" t="str">
        <f t="shared" si="20"/>
        <v>L10</v>
      </c>
      <c r="N147" s="4" t="s">
        <v>42</v>
      </c>
      <c r="O147" s="4">
        <v>172</v>
      </c>
      <c r="P147">
        <v>158</v>
      </c>
      <c r="Q147" t="s">
        <v>28</v>
      </c>
      <c r="R147" t="b">
        <f t="shared" si="21"/>
        <v>1</v>
      </c>
      <c r="S147" s="4" t="s">
        <v>336</v>
      </c>
      <c r="T147" s="3">
        <v>3237</v>
      </c>
      <c r="U147" s="5" t="s">
        <v>31</v>
      </c>
      <c r="V147" s="5">
        <v>22.446000000000002</v>
      </c>
      <c r="W147" s="5">
        <v>36.911999999999999</v>
      </c>
      <c r="X147" s="3" t="s">
        <v>337</v>
      </c>
      <c r="Y147" s="12">
        <f t="shared" si="22"/>
        <v>-14.465999999999998</v>
      </c>
      <c r="AA147" t="b">
        <f t="shared" si="23"/>
        <v>1</v>
      </c>
      <c r="AB147" s="19" t="s">
        <v>1043</v>
      </c>
      <c r="AC147" s="19" t="s">
        <v>336</v>
      </c>
      <c r="AD147" s="29"/>
      <c r="AE147" s="29"/>
      <c r="AF147" s="28"/>
      <c r="AG147" s="28"/>
      <c r="AH147" s="29"/>
      <c r="AL147" s="3">
        <v>3237</v>
      </c>
      <c r="AM147" s="37"/>
      <c r="AN147" s="17"/>
      <c r="AO147" s="17"/>
      <c r="AP147" s="37"/>
      <c r="AQ147" s="3"/>
      <c r="AR147" s="3"/>
      <c r="AS147" s="5" t="s">
        <v>31</v>
      </c>
    </row>
    <row r="148" spans="1:45" x14ac:dyDescent="0.25">
      <c r="A148" s="4"/>
      <c r="B148" s="4"/>
      <c r="C148" s="4">
        <v>322</v>
      </c>
      <c r="D148" s="4" t="s">
        <v>338</v>
      </c>
      <c r="E148" s="5">
        <v>24.003</v>
      </c>
      <c r="F148" s="5">
        <v>26.13</v>
      </c>
      <c r="G148" s="13" t="s">
        <v>24</v>
      </c>
      <c r="H148" s="5" t="s">
        <v>24</v>
      </c>
      <c r="I148" s="4" t="s">
        <v>25</v>
      </c>
      <c r="J148" s="4"/>
      <c r="K148" s="4" t="s">
        <v>73</v>
      </c>
      <c r="L148" s="4">
        <v>10</v>
      </c>
      <c r="M148" s="4" t="str">
        <f t="shared" si="20"/>
        <v>N10</v>
      </c>
      <c r="N148" s="4" t="s">
        <v>42</v>
      </c>
      <c r="O148" s="4">
        <v>174</v>
      </c>
      <c r="P148">
        <v>159</v>
      </c>
      <c r="Q148" t="s">
        <v>28</v>
      </c>
      <c r="R148" t="b">
        <f t="shared" si="21"/>
        <v>1</v>
      </c>
      <c r="S148" s="4" t="s">
        <v>338</v>
      </c>
      <c r="T148" s="3">
        <v>3238</v>
      </c>
      <c r="U148" s="4" t="s">
        <v>25</v>
      </c>
      <c r="V148" s="5">
        <v>24.003</v>
      </c>
      <c r="W148" s="5">
        <v>26.13</v>
      </c>
      <c r="X148" s="3" t="s">
        <v>339</v>
      </c>
      <c r="Y148" s="12">
        <f t="shared" si="22"/>
        <v>-2.1269999999999989</v>
      </c>
      <c r="AA148" t="b">
        <f t="shared" si="23"/>
        <v>1</v>
      </c>
      <c r="AB148" s="19" t="s">
        <v>1044</v>
      </c>
      <c r="AC148" s="19" t="s">
        <v>338</v>
      </c>
      <c r="AD148" s="29">
        <v>552.12</v>
      </c>
      <c r="AE148" s="29"/>
      <c r="AF148" s="28">
        <v>282</v>
      </c>
      <c r="AG148" s="28">
        <v>5919</v>
      </c>
      <c r="AH148" s="29"/>
      <c r="AL148" s="3">
        <v>3238</v>
      </c>
      <c r="AM148" s="37">
        <v>552.12</v>
      </c>
      <c r="AN148" s="40">
        <f>(AM148-122)/3</f>
        <v>143.37333333333333</v>
      </c>
      <c r="AO148" s="40">
        <f>AN148*1.0425+1.2088</f>
        <v>150.6755</v>
      </c>
      <c r="AP148" s="37"/>
      <c r="AQ148" s="3"/>
      <c r="AR148" s="3"/>
      <c r="AS148" s="4" t="s">
        <v>25</v>
      </c>
    </row>
    <row r="149" spans="1:45" x14ac:dyDescent="0.25">
      <c r="A149" s="4"/>
      <c r="B149" s="4"/>
      <c r="C149" s="4">
        <v>370</v>
      </c>
      <c r="D149" s="4" t="s">
        <v>340</v>
      </c>
      <c r="E149" s="5">
        <v>22.495999999999999</v>
      </c>
      <c r="F149" s="5" t="s">
        <v>31</v>
      </c>
      <c r="G149" s="13" t="s">
        <v>24</v>
      </c>
      <c r="H149" s="5" t="s">
        <v>31</v>
      </c>
      <c r="I149" s="4" t="s">
        <v>31</v>
      </c>
      <c r="J149" s="4"/>
      <c r="K149" s="4" t="s">
        <v>76</v>
      </c>
      <c r="L149" s="4">
        <v>10</v>
      </c>
      <c r="M149" s="4" t="str">
        <f t="shared" si="20"/>
        <v>P10</v>
      </c>
      <c r="N149" s="4" t="s">
        <v>42</v>
      </c>
      <c r="O149" s="4">
        <v>176</v>
      </c>
      <c r="P149">
        <v>160</v>
      </c>
      <c r="Q149" t="s">
        <v>28</v>
      </c>
      <c r="R149" t="b">
        <f t="shared" si="21"/>
        <v>1</v>
      </c>
      <c r="S149" s="4" t="s">
        <v>340</v>
      </c>
      <c r="T149" s="3">
        <v>3239</v>
      </c>
      <c r="U149" s="4" t="s">
        <v>31</v>
      </c>
      <c r="V149" s="5">
        <v>22.495999999999999</v>
      </c>
      <c r="W149" s="5" t="s">
        <v>31</v>
      </c>
      <c r="X149" s="3" t="s">
        <v>341</v>
      </c>
      <c r="Y149" s="12" t="e">
        <f t="shared" si="22"/>
        <v>#VALUE!</v>
      </c>
      <c r="AA149" t="b">
        <f t="shared" si="23"/>
        <v>1</v>
      </c>
      <c r="AB149" s="19" t="s">
        <v>1045</v>
      </c>
      <c r="AC149" s="19" t="s">
        <v>340</v>
      </c>
      <c r="AD149" s="29"/>
      <c r="AE149" s="29"/>
      <c r="AF149" s="28"/>
      <c r="AG149" s="28"/>
      <c r="AH149" s="29"/>
      <c r="AL149" s="3">
        <v>3239</v>
      </c>
      <c r="AM149" s="37"/>
      <c r="AN149" s="17"/>
      <c r="AO149" s="17"/>
      <c r="AP149" s="37"/>
      <c r="AQ149" s="3"/>
      <c r="AR149" s="3"/>
      <c r="AS149" s="4" t="s">
        <v>31</v>
      </c>
    </row>
    <row r="150" spans="1:45" x14ac:dyDescent="0.25">
      <c r="A150" s="4"/>
      <c r="B150" s="4"/>
      <c r="C150" s="4">
        <v>11</v>
      </c>
      <c r="D150" s="4" t="s">
        <v>342</v>
      </c>
      <c r="E150" s="5">
        <v>22.873999999999999</v>
      </c>
      <c r="F150" s="5">
        <v>24.829000000000001</v>
      </c>
      <c r="G150" s="13" t="s">
        <v>24</v>
      </c>
      <c r="H150" s="5" t="s">
        <v>24</v>
      </c>
      <c r="I150" s="4" t="s">
        <v>25</v>
      </c>
      <c r="J150" s="4"/>
      <c r="K150" s="4" t="s">
        <v>26</v>
      </c>
      <c r="L150" s="4">
        <v>11</v>
      </c>
      <c r="M150" s="4" t="str">
        <f t="shared" si="20"/>
        <v>A11</v>
      </c>
      <c r="N150" s="4" t="s">
        <v>27</v>
      </c>
      <c r="O150" s="4">
        <v>81</v>
      </c>
      <c r="P150">
        <v>161</v>
      </c>
      <c r="Q150" t="s">
        <v>28</v>
      </c>
      <c r="R150" t="b">
        <f t="shared" si="21"/>
        <v>1</v>
      </c>
      <c r="S150" s="4" t="s">
        <v>342</v>
      </c>
      <c r="T150" s="3">
        <v>3240</v>
      </c>
      <c r="U150" s="4" t="s">
        <v>25</v>
      </c>
      <c r="V150" s="5">
        <v>22.873999999999999</v>
      </c>
      <c r="W150" s="5">
        <v>24.829000000000001</v>
      </c>
      <c r="X150" s="3" t="s">
        <v>343</v>
      </c>
      <c r="Y150" s="12">
        <f t="shared" si="22"/>
        <v>-1.9550000000000018</v>
      </c>
      <c r="AA150" t="b">
        <f t="shared" si="23"/>
        <v>1</v>
      </c>
      <c r="AB150" s="19" t="s">
        <v>1046</v>
      </c>
      <c r="AC150" s="19" t="s">
        <v>342</v>
      </c>
      <c r="AD150" s="29">
        <v>580.97</v>
      </c>
      <c r="AE150" s="29"/>
      <c r="AF150" s="28">
        <v>124</v>
      </c>
      <c r="AG150" s="28">
        <v>2598</v>
      </c>
      <c r="AH150" s="29"/>
      <c r="AL150" s="3">
        <v>3240</v>
      </c>
      <c r="AM150" s="37">
        <v>580.97</v>
      </c>
      <c r="AN150" s="40">
        <f>(AM150-122)/3</f>
        <v>152.99</v>
      </c>
      <c r="AO150" s="40">
        <f>AN150*1.0425+1.2088</f>
        <v>160.700875</v>
      </c>
      <c r="AP150" s="37"/>
      <c r="AQ150" s="3"/>
      <c r="AR150" s="3"/>
      <c r="AS150" s="4" t="s">
        <v>25</v>
      </c>
    </row>
    <row r="151" spans="1:45" x14ac:dyDescent="0.25">
      <c r="A151" s="4"/>
      <c r="B151" s="4"/>
      <c r="C151" s="4">
        <v>59</v>
      </c>
      <c r="D151" s="4" t="s">
        <v>344</v>
      </c>
      <c r="E151" s="5">
        <v>23.344000000000001</v>
      </c>
      <c r="F151" s="5">
        <v>25.231000000000002</v>
      </c>
      <c r="G151" s="13" t="s">
        <v>24</v>
      </c>
      <c r="H151" s="5" t="s">
        <v>24</v>
      </c>
      <c r="I151" s="4" t="s">
        <v>25</v>
      </c>
      <c r="J151" s="4"/>
      <c r="K151" s="4" t="s">
        <v>32</v>
      </c>
      <c r="L151" s="4">
        <v>11</v>
      </c>
      <c r="M151" s="4" t="str">
        <f t="shared" si="20"/>
        <v>C11</v>
      </c>
      <c r="N151" s="4" t="s">
        <v>27</v>
      </c>
      <c r="O151" s="4">
        <v>83</v>
      </c>
      <c r="P151">
        <v>162</v>
      </c>
      <c r="Q151" t="s">
        <v>28</v>
      </c>
      <c r="R151" t="b">
        <f t="shared" si="21"/>
        <v>1</v>
      </c>
      <c r="S151" s="4" t="s">
        <v>344</v>
      </c>
      <c r="T151" s="3">
        <v>3241</v>
      </c>
      <c r="U151" s="4" t="s">
        <v>25</v>
      </c>
      <c r="V151" s="5">
        <v>23.344000000000001</v>
      </c>
      <c r="W151" s="5">
        <v>25.231000000000002</v>
      </c>
      <c r="X151" s="3" t="s">
        <v>345</v>
      </c>
      <c r="Y151" s="12">
        <f t="shared" si="22"/>
        <v>-1.8870000000000005</v>
      </c>
      <c r="AA151" t="b">
        <f t="shared" si="23"/>
        <v>1</v>
      </c>
      <c r="AB151" s="19" t="s">
        <v>1047</v>
      </c>
      <c r="AC151" s="19" t="s">
        <v>344</v>
      </c>
      <c r="AD151" s="29">
        <v>566.46</v>
      </c>
      <c r="AE151" s="29"/>
      <c r="AF151" s="28">
        <v>217</v>
      </c>
      <c r="AG151" s="28">
        <v>4562</v>
      </c>
      <c r="AH151" s="29"/>
      <c r="AL151" s="3">
        <v>3241</v>
      </c>
      <c r="AM151" s="37">
        <v>566.46</v>
      </c>
      <c r="AN151" s="40">
        <f>(AM151-122)/3</f>
        <v>148.15333333333334</v>
      </c>
      <c r="AO151" s="40">
        <f>AN151*1.0425+1.2088</f>
        <v>155.65864999999999</v>
      </c>
      <c r="AP151" s="37"/>
      <c r="AQ151" s="3"/>
      <c r="AR151" s="3"/>
      <c r="AS151" s="4" t="s">
        <v>25</v>
      </c>
    </row>
    <row r="152" spans="1:45" x14ac:dyDescent="0.25">
      <c r="A152" s="4"/>
      <c r="B152" s="4"/>
      <c r="C152" s="4">
        <v>107</v>
      </c>
      <c r="D152" s="4" t="s">
        <v>346</v>
      </c>
      <c r="E152" s="5">
        <v>23.62</v>
      </c>
      <c r="F152" s="5">
        <v>25.515999999999998</v>
      </c>
      <c r="G152" s="13" t="s">
        <v>24</v>
      </c>
      <c r="H152" s="5" t="s">
        <v>24</v>
      </c>
      <c r="I152" s="4" t="s">
        <v>25</v>
      </c>
      <c r="J152" s="4"/>
      <c r="K152" s="4" t="s">
        <v>35</v>
      </c>
      <c r="L152" s="4">
        <v>11</v>
      </c>
      <c r="M152" s="4" t="str">
        <f t="shared" si="20"/>
        <v>E11</v>
      </c>
      <c r="N152" s="4" t="s">
        <v>27</v>
      </c>
      <c r="O152" s="4">
        <v>85</v>
      </c>
      <c r="P152">
        <v>163</v>
      </c>
      <c r="Q152" t="s">
        <v>28</v>
      </c>
      <c r="R152" t="b">
        <f t="shared" si="21"/>
        <v>1</v>
      </c>
      <c r="S152" s="4" t="s">
        <v>346</v>
      </c>
      <c r="T152" s="3">
        <v>3242</v>
      </c>
      <c r="U152" s="4" t="s">
        <v>25</v>
      </c>
      <c r="V152" s="5">
        <v>23.62</v>
      </c>
      <c r="W152" s="5">
        <v>25.515999999999998</v>
      </c>
      <c r="X152" s="3" t="s">
        <v>347</v>
      </c>
      <c r="Y152" s="12">
        <f t="shared" si="22"/>
        <v>-1.8959999999999972</v>
      </c>
      <c r="AA152" t="b">
        <f t="shared" si="23"/>
        <v>1</v>
      </c>
      <c r="AB152" s="19" t="s">
        <v>1048</v>
      </c>
      <c r="AC152" s="19" t="s">
        <v>346</v>
      </c>
      <c r="AD152" s="29">
        <v>549.25</v>
      </c>
      <c r="AE152" s="29"/>
      <c r="AF152" s="28">
        <v>394</v>
      </c>
      <c r="AG152" s="28">
        <v>7868</v>
      </c>
      <c r="AH152" s="29"/>
      <c r="AL152" s="3">
        <v>3242</v>
      </c>
      <c r="AM152" s="37">
        <v>549.25</v>
      </c>
      <c r="AN152" s="40">
        <f>(AM152-122)/3</f>
        <v>142.41666666666666</v>
      </c>
      <c r="AO152" s="40">
        <f>AN152*1.0425+1.2088</f>
        <v>149.67817499999998</v>
      </c>
      <c r="AP152" s="37"/>
      <c r="AQ152" s="3"/>
      <c r="AR152" s="3"/>
      <c r="AS152" s="4" t="s">
        <v>25</v>
      </c>
    </row>
    <row r="153" spans="1:45" x14ac:dyDescent="0.25">
      <c r="A153" s="4"/>
      <c r="B153" s="4"/>
      <c r="C153" s="4">
        <v>155</v>
      </c>
      <c r="D153" s="4" t="s">
        <v>348</v>
      </c>
      <c r="E153" s="5">
        <v>23.922999999999998</v>
      </c>
      <c r="F153" s="5">
        <v>25.79</v>
      </c>
      <c r="G153" s="13" t="s">
        <v>24</v>
      </c>
      <c r="H153" s="5" t="s">
        <v>24</v>
      </c>
      <c r="I153" s="4" t="s">
        <v>25</v>
      </c>
      <c r="J153" s="4"/>
      <c r="K153" s="4" t="s">
        <v>38</v>
      </c>
      <c r="L153" s="4">
        <v>11</v>
      </c>
      <c r="M153" s="4" t="str">
        <f t="shared" si="20"/>
        <v>G11</v>
      </c>
      <c r="N153" s="4" t="s">
        <v>27</v>
      </c>
      <c r="O153" s="4">
        <v>87</v>
      </c>
      <c r="P153">
        <v>164</v>
      </c>
      <c r="Q153" t="s">
        <v>28</v>
      </c>
      <c r="R153" t="b">
        <f t="shared" si="21"/>
        <v>1</v>
      </c>
      <c r="S153" s="4" t="s">
        <v>348</v>
      </c>
      <c r="T153" s="3">
        <v>3243</v>
      </c>
      <c r="U153" s="4" t="s">
        <v>25</v>
      </c>
      <c r="V153" s="5">
        <v>23.922999999999998</v>
      </c>
      <c r="W153" s="5">
        <v>25.79</v>
      </c>
      <c r="X153" s="3" t="s">
        <v>349</v>
      </c>
      <c r="Y153" s="12">
        <f t="shared" si="22"/>
        <v>-1.8670000000000009</v>
      </c>
      <c r="AA153" t="b">
        <f t="shared" si="23"/>
        <v>1</v>
      </c>
      <c r="AB153" s="19" t="s">
        <v>1049</v>
      </c>
      <c r="AC153" s="19" t="s">
        <v>348</v>
      </c>
      <c r="AD153" s="29">
        <v>569.52</v>
      </c>
      <c r="AE153" s="29"/>
      <c r="AF153" s="28">
        <v>323</v>
      </c>
      <c r="AG153" s="28">
        <v>6809</v>
      </c>
      <c r="AH153" s="29"/>
      <c r="AL153" s="3">
        <v>3243</v>
      </c>
      <c r="AM153" s="37">
        <v>569.52</v>
      </c>
      <c r="AN153" s="40">
        <f>(AM153-122)/3</f>
        <v>149.17333333333332</v>
      </c>
      <c r="AO153" s="40">
        <f>AN153*1.0425+1.2088</f>
        <v>156.72199999999998</v>
      </c>
      <c r="AP153" s="37"/>
      <c r="AQ153" s="3"/>
      <c r="AR153" s="3"/>
      <c r="AS153" s="4" t="s">
        <v>25</v>
      </c>
    </row>
    <row r="154" spans="1:45" x14ac:dyDescent="0.25">
      <c r="A154" s="4"/>
      <c r="B154" s="4"/>
      <c r="C154" s="4">
        <v>203</v>
      </c>
      <c r="D154" s="4" t="s">
        <v>350</v>
      </c>
      <c r="E154" s="5">
        <v>24.271000000000001</v>
      </c>
      <c r="F154" s="5">
        <v>26.405999999999999</v>
      </c>
      <c r="G154" s="13" t="s">
        <v>24</v>
      </c>
      <c r="H154" s="5" t="s">
        <v>24</v>
      </c>
      <c r="I154" s="4" t="s">
        <v>25</v>
      </c>
      <c r="J154" s="4"/>
      <c r="K154" s="4" t="s">
        <v>41</v>
      </c>
      <c r="L154" s="4">
        <v>11</v>
      </c>
      <c r="M154" s="4" t="str">
        <f t="shared" si="20"/>
        <v>I11</v>
      </c>
      <c r="N154" s="4" t="s">
        <v>42</v>
      </c>
      <c r="O154" s="4">
        <v>177</v>
      </c>
      <c r="P154">
        <v>165</v>
      </c>
      <c r="Q154" t="s">
        <v>28</v>
      </c>
      <c r="R154" t="b">
        <f t="shared" si="21"/>
        <v>1</v>
      </c>
      <c r="S154" s="4" t="s">
        <v>350</v>
      </c>
      <c r="T154" s="3">
        <v>3244</v>
      </c>
      <c r="U154" s="4" t="s">
        <v>25</v>
      </c>
      <c r="V154" s="5">
        <v>24.271000000000001</v>
      </c>
      <c r="W154" s="5">
        <v>26.405999999999999</v>
      </c>
      <c r="X154" s="3" t="s">
        <v>351</v>
      </c>
      <c r="Y154" s="12">
        <f t="shared" si="22"/>
        <v>-2.134999999999998</v>
      </c>
      <c r="AA154" t="b">
        <f t="shared" si="23"/>
        <v>1</v>
      </c>
      <c r="AB154" s="19" t="s">
        <v>1050</v>
      </c>
      <c r="AC154" s="19" t="s">
        <v>350</v>
      </c>
      <c r="AD154" s="29">
        <v>543.34</v>
      </c>
      <c r="AE154" s="29"/>
      <c r="AF154" s="28">
        <v>416</v>
      </c>
      <c r="AG154" s="28">
        <v>8541</v>
      </c>
      <c r="AH154" s="29"/>
      <c r="AL154" s="3">
        <v>3244</v>
      </c>
      <c r="AM154" s="37">
        <v>543.34</v>
      </c>
      <c r="AN154" s="40">
        <f>(AM154-122)/3</f>
        <v>140.44666666666669</v>
      </c>
      <c r="AO154" s="40">
        <f>AN154*1.0425+1.2088</f>
        <v>147.62445000000002</v>
      </c>
      <c r="AP154" s="37"/>
      <c r="AQ154" s="3"/>
      <c r="AR154" s="3"/>
      <c r="AS154" s="4" t="s">
        <v>25</v>
      </c>
    </row>
    <row r="155" spans="1:45" x14ac:dyDescent="0.25">
      <c r="A155" s="4"/>
      <c r="B155" s="4"/>
      <c r="C155" s="4">
        <v>251</v>
      </c>
      <c r="D155" s="4" t="s">
        <v>352</v>
      </c>
      <c r="E155" s="5">
        <v>23.058</v>
      </c>
      <c r="F155" s="5">
        <v>35.453000000000003</v>
      </c>
      <c r="G155" s="13" t="s">
        <v>24</v>
      </c>
      <c r="H155" s="5" t="s">
        <v>19</v>
      </c>
      <c r="I155" s="5" t="s">
        <v>31</v>
      </c>
      <c r="J155" s="4"/>
      <c r="K155" s="4" t="s">
        <v>45</v>
      </c>
      <c r="L155" s="4">
        <v>11</v>
      </c>
      <c r="M155" s="4" t="str">
        <f t="shared" si="20"/>
        <v>K11</v>
      </c>
      <c r="N155" s="4" t="s">
        <v>42</v>
      </c>
      <c r="O155" s="4">
        <v>179</v>
      </c>
      <c r="P155">
        <v>166</v>
      </c>
      <c r="Q155" t="s">
        <v>28</v>
      </c>
      <c r="R155" t="b">
        <f t="shared" si="21"/>
        <v>1</v>
      </c>
      <c r="S155" s="4" t="s">
        <v>352</v>
      </c>
      <c r="T155" s="3">
        <v>3245</v>
      </c>
      <c r="U155" s="4" t="s">
        <v>31</v>
      </c>
      <c r="V155" s="5">
        <v>23.058</v>
      </c>
      <c r="W155" s="5">
        <v>35.453000000000003</v>
      </c>
      <c r="X155" s="3" t="s">
        <v>353</v>
      </c>
      <c r="Y155" s="12">
        <f t="shared" si="22"/>
        <v>-12.395000000000003</v>
      </c>
      <c r="AA155" t="b">
        <f t="shared" si="23"/>
        <v>1</v>
      </c>
      <c r="AB155" s="19" t="s">
        <v>1051</v>
      </c>
      <c r="AC155" s="19" t="s">
        <v>352</v>
      </c>
      <c r="AD155" s="3"/>
      <c r="AE155" s="3"/>
      <c r="AF155" s="3"/>
      <c r="AG155" s="28">
        <v>701</v>
      </c>
      <c r="AH155" s="3" t="s">
        <v>19</v>
      </c>
      <c r="AL155" s="3">
        <v>3245</v>
      </c>
      <c r="AM155" s="17"/>
      <c r="AN155" s="17"/>
      <c r="AO155" s="17"/>
      <c r="AP155" s="17"/>
      <c r="AQ155" s="3"/>
      <c r="AR155" s="3"/>
      <c r="AS155" s="4" t="s">
        <v>31</v>
      </c>
    </row>
    <row r="156" spans="1:45" x14ac:dyDescent="0.25">
      <c r="A156" s="4"/>
      <c r="B156" s="4"/>
      <c r="C156" s="4">
        <v>299</v>
      </c>
      <c r="D156" s="4" t="s">
        <v>354</v>
      </c>
      <c r="E156" s="5">
        <v>29.364000000000001</v>
      </c>
      <c r="F156" s="5">
        <v>24.173999999999999</v>
      </c>
      <c r="G156" s="13" t="s">
        <v>24</v>
      </c>
      <c r="H156" s="5" t="s">
        <v>24</v>
      </c>
      <c r="I156" s="4" t="s">
        <v>25</v>
      </c>
      <c r="J156" s="4"/>
      <c r="K156" s="4" t="s">
        <v>48</v>
      </c>
      <c r="L156" s="4">
        <v>11</v>
      </c>
      <c r="M156" s="4" t="str">
        <f t="shared" si="20"/>
        <v>M11</v>
      </c>
      <c r="N156" s="4" t="s">
        <v>42</v>
      </c>
      <c r="O156" s="4">
        <v>181</v>
      </c>
      <c r="P156">
        <v>167</v>
      </c>
      <c r="Q156" t="s">
        <v>28</v>
      </c>
      <c r="R156" t="b">
        <f t="shared" si="21"/>
        <v>1</v>
      </c>
      <c r="S156" s="4" t="s">
        <v>354</v>
      </c>
      <c r="T156" s="3">
        <v>3246</v>
      </c>
      <c r="U156" s="4" t="s">
        <v>25</v>
      </c>
      <c r="V156" s="5">
        <v>29.364000000000001</v>
      </c>
      <c r="W156" s="5">
        <v>24.173999999999999</v>
      </c>
      <c r="X156" s="3" t="s">
        <v>355</v>
      </c>
      <c r="Y156" s="12">
        <f t="shared" si="22"/>
        <v>5.1900000000000013</v>
      </c>
      <c r="Z156" s="15" t="s">
        <v>19</v>
      </c>
      <c r="AA156" t="b">
        <f t="shared" si="23"/>
        <v>1</v>
      </c>
      <c r="AB156" s="19" t="s">
        <v>1052</v>
      </c>
      <c r="AC156" s="19" t="s">
        <v>354</v>
      </c>
      <c r="AD156" s="29">
        <v>546.1</v>
      </c>
      <c r="AE156" s="29">
        <v>563.51</v>
      </c>
      <c r="AF156" s="28">
        <v>403</v>
      </c>
      <c r="AG156" s="28">
        <v>8045</v>
      </c>
      <c r="AH156" s="29"/>
      <c r="AL156" s="3">
        <v>3246</v>
      </c>
      <c r="AM156" s="37">
        <v>546.1</v>
      </c>
      <c r="AN156" s="40">
        <f>(AM156-122)/3</f>
        <v>141.36666666666667</v>
      </c>
      <c r="AO156" s="40">
        <f>AN156*1.0425+1.2088</f>
        <v>148.58355</v>
      </c>
      <c r="AP156" s="37">
        <v>563.51</v>
      </c>
      <c r="AQ156" s="40">
        <f>(AP156-122)/3</f>
        <v>147.16999999999999</v>
      </c>
      <c r="AR156" s="40">
        <f>AQ156*1.0425+1.2088</f>
        <v>154.63352499999999</v>
      </c>
      <c r="AS156" s="4" t="s">
        <v>25</v>
      </c>
    </row>
    <row r="157" spans="1:45" x14ac:dyDescent="0.25">
      <c r="A157" s="4"/>
      <c r="B157" s="4"/>
      <c r="C157" s="4">
        <v>347</v>
      </c>
      <c r="D157" s="4" t="s">
        <v>356</v>
      </c>
      <c r="E157" s="5">
        <v>23.486999999999998</v>
      </c>
      <c r="F157" s="5">
        <v>25.457999999999998</v>
      </c>
      <c r="G157" s="13" t="s">
        <v>24</v>
      </c>
      <c r="H157" s="5" t="s">
        <v>24</v>
      </c>
      <c r="I157" s="4" t="s">
        <v>25</v>
      </c>
      <c r="J157" s="4"/>
      <c r="K157" s="4" t="s">
        <v>51</v>
      </c>
      <c r="L157" s="4">
        <v>11</v>
      </c>
      <c r="M157" s="4" t="str">
        <f t="shared" si="20"/>
        <v>O11</v>
      </c>
      <c r="N157" s="4" t="s">
        <v>42</v>
      </c>
      <c r="O157" s="4">
        <v>183</v>
      </c>
      <c r="P157">
        <v>168</v>
      </c>
      <c r="Q157" t="s">
        <v>28</v>
      </c>
      <c r="R157" t="b">
        <f t="shared" si="21"/>
        <v>1</v>
      </c>
      <c r="S157" s="4" t="s">
        <v>356</v>
      </c>
      <c r="T157" s="3">
        <v>3247</v>
      </c>
      <c r="U157" s="4" t="s">
        <v>25</v>
      </c>
      <c r="V157" s="5">
        <v>23.486999999999998</v>
      </c>
      <c r="W157" s="5">
        <v>25.457999999999998</v>
      </c>
      <c r="X157" s="3" t="s">
        <v>357</v>
      </c>
      <c r="Y157" s="12">
        <f t="shared" si="22"/>
        <v>-1.9710000000000001</v>
      </c>
      <c r="AA157" t="b">
        <f t="shared" si="23"/>
        <v>1</v>
      </c>
      <c r="AB157" s="19" t="s">
        <v>1053</v>
      </c>
      <c r="AC157" s="19" t="s">
        <v>356</v>
      </c>
      <c r="AD157" s="29">
        <v>545.98</v>
      </c>
      <c r="AE157" s="29"/>
      <c r="AF157" s="28">
        <v>525</v>
      </c>
      <c r="AG157" s="28">
        <v>10768</v>
      </c>
      <c r="AH157" s="29"/>
      <c r="AL157" s="3">
        <v>3247</v>
      </c>
      <c r="AM157" s="37">
        <v>545.98</v>
      </c>
      <c r="AN157" s="40">
        <f>(AM157-122)/3</f>
        <v>141.32666666666668</v>
      </c>
      <c r="AO157" s="40">
        <f>AN157*1.0425+1.2088</f>
        <v>148.54185000000001</v>
      </c>
      <c r="AP157" s="37"/>
      <c r="AQ157" s="3"/>
      <c r="AR157" s="3"/>
      <c r="AS157" s="4" t="s">
        <v>25</v>
      </c>
    </row>
    <row r="158" spans="1:45" x14ac:dyDescent="0.25">
      <c r="A158" s="4"/>
      <c r="B158" s="4"/>
      <c r="C158" s="4">
        <v>35</v>
      </c>
      <c r="D158" s="4" t="s">
        <v>358</v>
      </c>
      <c r="E158" s="5">
        <v>22.545999999999999</v>
      </c>
      <c r="F158" s="5">
        <v>39.536000000000001</v>
      </c>
      <c r="G158" s="13" t="s">
        <v>24</v>
      </c>
      <c r="H158" s="5" t="s">
        <v>19</v>
      </c>
      <c r="I158" s="5" t="s">
        <v>31</v>
      </c>
      <c r="J158" s="4"/>
      <c r="K158" s="4" t="s">
        <v>54</v>
      </c>
      <c r="L158" s="4">
        <v>11</v>
      </c>
      <c r="M158" s="4" t="str">
        <f t="shared" si="20"/>
        <v>B11</v>
      </c>
      <c r="N158" s="4" t="s">
        <v>27</v>
      </c>
      <c r="O158" s="4">
        <v>82</v>
      </c>
      <c r="P158">
        <v>169</v>
      </c>
      <c r="Q158" t="s">
        <v>28</v>
      </c>
      <c r="R158" t="b">
        <f t="shared" si="21"/>
        <v>1</v>
      </c>
      <c r="S158" s="4" t="s">
        <v>358</v>
      </c>
      <c r="T158" s="3">
        <v>3248</v>
      </c>
      <c r="U158" s="5" t="s">
        <v>31</v>
      </c>
      <c r="V158" s="5">
        <v>22.545999999999999</v>
      </c>
      <c r="W158" s="5">
        <v>39.536000000000001</v>
      </c>
      <c r="X158" s="3" t="s">
        <v>359</v>
      </c>
      <c r="Y158" s="12">
        <f t="shared" si="22"/>
        <v>-16.990000000000002</v>
      </c>
      <c r="AA158" t="b">
        <f t="shared" si="23"/>
        <v>1</v>
      </c>
      <c r="AB158" s="19" t="s">
        <v>1054</v>
      </c>
      <c r="AC158" s="19" t="s">
        <v>358</v>
      </c>
      <c r="AD158" s="29"/>
      <c r="AE158" s="29"/>
      <c r="AF158" s="28"/>
      <c r="AG158" s="28"/>
      <c r="AH158" s="29"/>
      <c r="AL158" s="3">
        <v>3248</v>
      </c>
      <c r="AM158" s="37"/>
      <c r="AN158" s="17"/>
      <c r="AO158" s="17"/>
      <c r="AP158" s="37"/>
      <c r="AQ158" s="3"/>
      <c r="AR158" s="3"/>
      <c r="AS158" s="5" t="s">
        <v>31</v>
      </c>
    </row>
    <row r="159" spans="1:45" x14ac:dyDescent="0.25">
      <c r="A159" s="4"/>
      <c r="B159" s="4"/>
      <c r="C159" s="4">
        <v>83</v>
      </c>
      <c r="D159" s="4" t="s">
        <v>360</v>
      </c>
      <c r="E159" s="5">
        <v>23.323</v>
      </c>
      <c r="F159" s="5">
        <v>25.253</v>
      </c>
      <c r="G159" s="13" t="s">
        <v>24</v>
      </c>
      <c r="H159" s="5" t="s">
        <v>24</v>
      </c>
      <c r="I159" s="4" t="s">
        <v>25</v>
      </c>
      <c r="J159" s="4"/>
      <c r="K159" s="4" t="s">
        <v>57</v>
      </c>
      <c r="L159" s="4">
        <v>11</v>
      </c>
      <c r="M159" s="4" t="str">
        <f t="shared" si="20"/>
        <v>D11</v>
      </c>
      <c r="N159" s="4" t="s">
        <v>27</v>
      </c>
      <c r="O159" s="4">
        <v>84</v>
      </c>
      <c r="P159">
        <v>170</v>
      </c>
      <c r="Q159" t="s">
        <v>28</v>
      </c>
      <c r="R159" t="b">
        <f t="shared" si="21"/>
        <v>1</v>
      </c>
      <c r="S159" s="4" t="s">
        <v>360</v>
      </c>
      <c r="T159" s="3">
        <v>3249</v>
      </c>
      <c r="U159" s="4" t="s">
        <v>25</v>
      </c>
      <c r="V159" s="5">
        <v>23.323</v>
      </c>
      <c r="W159" s="5">
        <v>25.253</v>
      </c>
      <c r="X159" s="3" t="s">
        <v>361</v>
      </c>
      <c r="Y159" s="12">
        <f t="shared" si="22"/>
        <v>-1.9299999999999997</v>
      </c>
      <c r="AA159" t="b">
        <f t="shared" si="23"/>
        <v>1</v>
      </c>
      <c r="AB159" s="19" t="s">
        <v>1055</v>
      </c>
      <c r="AC159" s="19" t="s">
        <v>360</v>
      </c>
      <c r="AD159" s="29">
        <v>554.74</v>
      </c>
      <c r="AE159" s="29"/>
      <c r="AF159" s="28">
        <v>241</v>
      </c>
      <c r="AG159" s="28">
        <v>5174</v>
      </c>
      <c r="AH159" s="29"/>
      <c r="AL159" s="3">
        <v>3249</v>
      </c>
      <c r="AM159" s="37">
        <v>554.74</v>
      </c>
      <c r="AN159" s="40">
        <f>(AM159-122)/3</f>
        <v>144.24666666666667</v>
      </c>
      <c r="AO159" s="40">
        <f>AN159*1.0425+1.2088</f>
        <v>151.58595</v>
      </c>
      <c r="AP159" s="37"/>
      <c r="AQ159" s="3"/>
      <c r="AR159" s="3"/>
      <c r="AS159" s="4" t="s">
        <v>25</v>
      </c>
    </row>
    <row r="160" spans="1:45" x14ac:dyDescent="0.25">
      <c r="A160" s="4"/>
      <c r="B160" s="4"/>
      <c r="C160" s="4">
        <v>131</v>
      </c>
      <c r="D160" s="4" t="s">
        <v>362</v>
      </c>
      <c r="E160" s="5">
        <v>23.535</v>
      </c>
      <c r="F160" s="5">
        <v>25.355</v>
      </c>
      <c r="G160" s="13" t="s">
        <v>24</v>
      </c>
      <c r="H160" s="5" t="s">
        <v>24</v>
      </c>
      <c r="I160" s="4" t="s">
        <v>25</v>
      </c>
      <c r="J160" s="4"/>
      <c r="K160" s="4" t="s">
        <v>60</v>
      </c>
      <c r="L160" s="4">
        <v>11</v>
      </c>
      <c r="M160" s="4" t="str">
        <f t="shared" si="20"/>
        <v>F11</v>
      </c>
      <c r="N160" s="4" t="s">
        <v>27</v>
      </c>
      <c r="O160" s="4">
        <v>86</v>
      </c>
      <c r="P160">
        <v>171</v>
      </c>
      <c r="Q160" t="s">
        <v>28</v>
      </c>
      <c r="R160" t="b">
        <f t="shared" si="21"/>
        <v>1</v>
      </c>
      <c r="S160" s="4" t="s">
        <v>362</v>
      </c>
      <c r="T160" s="3">
        <v>3250</v>
      </c>
      <c r="U160" s="4" t="s">
        <v>25</v>
      </c>
      <c r="V160" s="5">
        <v>23.535</v>
      </c>
      <c r="W160" s="5">
        <v>25.355</v>
      </c>
      <c r="X160" s="3" t="s">
        <v>363</v>
      </c>
      <c r="Y160" s="12">
        <f t="shared" si="22"/>
        <v>-1.8200000000000003</v>
      </c>
      <c r="AA160" t="b">
        <f t="shared" si="23"/>
        <v>1</v>
      </c>
      <c r="AB160" s="19" t="s">
        <v>1056</v>
      </c>
      <c r="AC160" s="19" t="s">
        <v>362</v>
      </c>
      <c r="AD160" s="29">
        <v>552.07000000000005</v>
      </c>
      <c r="AE160" s="29"/>
      <c r="AF160" s="28">
        <v>329</v>
      </c>
      <c r="AG160" s="28">
        <v>7375</v>
      </c>
      <c r="AH160" s="29"/>
      <c r="AL160" s="3">
        <v>3250</v>
      </c>
      <c r="AM160" s="37">
        <v>552.07000000000005</v>
      </c>
      <c r="AN160" s="40">
        <f>(AM160-122)/3</f>
        <v>143.35666666666668</v>
      </c>
      <c r="AO160" s="40">
        <f>AN160*1.0425+1.2088</f>
        <v>150.65812500000001</v>
      </c>
      <c r="AP160" s="37"/>
      <c r="AQ160" s="3"/>
      <c r="AR160" s="3"/>
      <c r="AS160" s="4" t="s">
        <v>25</v>
      </c>
    </row>
    <row r="161" spans="1:45" x14ac:dyDescent="0.25">
      <c r="A161" s="4"/>
      <c r="B161" s="4"/>
      <c r="C161" s="4">
        <v>179</v>
      </c>
      <c r="D161" s="4" t="s">
        <v>364</v>
      </c>
      <c r="E161" s="5">
        <v>22.861999999999998</v>
      </c>
      <c r="F161" s="5">
        <v>34.4</v>
      </c>
      <c r="G161" s="13" t="s">
        <v>24</v>
      </c>
      <c r="H161" s="5" t="s">
        <v>19</v>
      </c>
      <c r="I161" s="5" t="s">
        <v>31</v>
      </c>
      <c r="J161" s="4"/>
      <c r="K161" s="4" t="s">
        <v>64</v>
      </c>
      <c r="L161" s="4">
        <v>11</v>
      </c>
      <c r="M161" s="4" t="str">
        <f t="shared" si="20"/>
        <v>H11</v>
      </c>
      <c r="N161" s="4" t="s">
        <v>27</v>
      </c>
      <c r="O161" s="4">
        <v>88</v>
      </c>
      <c r="P161">
        <v>172</v>
      </c>
      <c r="Q161" t="s">
        <v>28</v>
      </c>
      <c r="R161" t="b">
        <f t="shared" si="21"/>
        <v>1</v>
      </c>
      <c r="S161" s="4" t="s">
        <v>364</v>
      </c>
      <c r="T161" s="3">
        <v>3251</v>
      </c>
      <c r="U161" s="5" t="s">
        <v>31</v>
      </c>
      <c r="V161" s="5">
        <v>22.861999999999998</v>
      </c>
      <c r="W161" s="5">
        <v>34.4</v>
      </c>
      <c r="X161" s="3" t="s">
        <v>365</v>
      </c>
      <c r="Y161" s="12">
        <f t="shared" si="22"/>
        <v>-11.538</v>
      </c>
      <c r="AA161" t="b">
        <f t="shared" si="23"/>
        <v>1</v>
      </c>
      <c r="AB161" s="19" t="s">
        <v>1057</v>
      </c>
      <c r="AC161" s="19" t="s">
        <v>364</v>
      </c>
      <c r="AD161" s="29"/>
      <c r="AE161" s="29"/>
      <c r="AF161" s="28"/>
      <c r="AG161" s="28"/>
      <c r="AH161" s="29"/>
      <c r="AL161" s="3">
        <v>3251</v>
      </c>
      <c r="AM161" s="37"/>
      <c r="AN161" s="17"/>
      <c r="AO161" s="17"/>
      <c r="AP161" s="37"/>
      <c r="AQ161" s="3"/>
      <c r="AR161" s="3"/>
      <c r="AS161" s="5" t="s">
        <v>31</v>
      </c>
    </row>
    <row r="162" spans="1:45" x14ac:dyDescent="0.25">
      <c r="A162" s="4"/>
      <c r="B162" s="4"/>
      <c r="C162" s="4">
        <v>227</v>
      </c>
      <c r="D162" s="4" t="s">
        <v>366</v>
      </c>
      <c r="E162" s="5">
        <v>22.298999999999999</v>
      </c>
      <c r="F162" s="5">
        <v>39.970999999999997</v>
      </c>
      <c r="G162" s="13" t="s">
        <v>24</v>
      </c>
      <c r="H162" s="5" t="s">
        <v>19</v>
      </c>
      <c r="I162" s="5" t="s">
        <v>31</v>
      </c>
      <c r="J162" s="4"/>
      <c r="K162" s="4" t="s">
        <v>67</v>
      </c>
      <c r="L162" s="4">
        <v>11</v>
      </c>
      <c r="M162" s="4" t="str">
        <f t="shared" si="20"/>
        <v>J11</v>
      </c>
      <c r="N162" s="4" t="s">
        <v>42</v>
      </c>
      <c r="O162" s="4">
        <v>178</v>
      </c>
      <c r="P162">
        <v>173</v>
      </c>
      <c r="Q162" t="s">
        <v>28</v>
      </c>
      <c r="R162" t="b">
        <f t="shared" si="21"/>
        <v>1</v>
      </c>
      <c r="S162" s="4" t="s">
        <v>366</v>
      </c>
      <c r="T162" s="3">
        <v>3252</v>
      </c>
      <c r="U162" s="5" t="s">
        <v>31</v>
      </c>
      <c r="V162" s="5">
        <v>22.298999999999999</v>
      </c>
      <c r="W162" s="5">
        <v>39.970999999999997</v>
      </c>
      <c r="X162" s="3" t="s">
        <v>367</v>
      </c>
      <c r="Y162" s="12">
        <f t="shared" si="22"/>
        <v>-17.671999999999997</v>
      </c>
      <c r="AA162" t="b">
        <f t="shared" si="23"/>
        <v>1</v>
      </c>
      <c r="AB162" s="19" t="s">
        <v>1058</v>
      </c>
      <c r="AC162" s="19" t="s">
        <v>366</v>
      </c>
      <c r="AD162" s="29"/>
      <c r="AE162" s="29"/>
      <c r="AF162" s="28"/>
      <c r="AG162" s="28"/>
      <c r="AH162" s="29"/>
      <c r="AL162" s="3">
        <v>3252</v>
      </c>
      <c r="AM162" s="37"/>
      <c r="AN162" s="17"/>
      <c r="AO162" s="17"/>
      <c r="AP162" s="37"/>
      <c r="AQ162" s="3"/>
      <c r="AR162" s="3"/>
      <c r="AS162" s="5" t="s">
        <v>31</v>
      </c>
    </row>
    <row r="163" spans="1:45" x14ac:dyDescent="0.25">
      <c r="A163" s="4"/>
      <c r="B163" s="4"/>
      <c r="C163" s="4">
        <v>275</v>
      </c>
      <c r="D163" s="4" t="s">
        <v>368</v>
      </c>
      <c r="E163" s="5">
        <v>22.186</v>
      </c>
      <c r="F163" s="5" t="s">
        <v>31</v>
      </c>
      <c r="G163" s="13" t="s">
        <v>24</v>
      </c>
      <c r="H163" s="5" t="s">
        <v>31</v>
      </c>
      <c r="I163" s="4" t="s">
        <v>31</v>
      </c>
      <c r="J163" s="4"/>
      <c r="K163" s="4" t="s">
        <v>70</v>
      </c>
      <c r="L163" s="4">
        <v>11</v>
      </c>
      <c r="M163" s="4" t="str">
        <f t="shared" si="20"/>
        <v>L11</v>
      </c>
      <c r="N163" s="4" t="s">
        <v>42</v>
      </c>
      <c r="O163" s="4">
        <v>180</v>
      </c>
      <c r="P163">
        <v>174</v>
      </c>
      <c r="Q163" t="s">
        <v>28</v>
      </c>
      <c r="R163" t="b">
        <f t="shared" si="21"/>
        <v>1</v>
      </c>
      <c r="S163" s="4" t="s">
        <v>368</v>
      </c>
      <c r="T163" s="3">
        <v>3253</v>
      </c>
      <c r="U163" s="4" t="s">
        <v>31</v>
      </c>
      <c r="V163" s="5">
        <v>22.186</v>
      </c>
      <c r="W163" s="5" t="s">
        <v>31</v>
      </c>
      <c r="X163" s="3" t="s">
        <v>369</v>
      </c>
      <c r="Y163" s="12" t="e">
        <f t="shared" si="22"/>
        <v>#VALUE!</v>
      </c>
      <c r="AA163" t="b">
        <f t="shared" si="23"/>
        <v>1</v>
      </c>
      <c r="AB163" s="19" t="s">
        <v>1059</v>
      </c>
      <c r="AC163" s="19" t="s">
        <v>368</v>
      </c>
      <c r="AD163" s="29"/>
      <c r="AE163" s="29"/>
      <c r="AF163" s="28"/>
      <c r="AG163" s="28"/>
      <c r="AH163" s="29"/>
      <c r="AL163" s="3">
        <v>3253</v>
      </c>
      <c r="AM163" s="37"/>
      <c r="AN163" s="17"/>
      <c r="AO163" s="17"/>
      <c r="AP163" s="37"/>
      <c r="AQ163" s="3"/>
      <c r="AR163" s="3"/>
      <c r="AS163" s="4" t="s">
        <v>31</v>
      </c>
    </row>
    <row r="164" spans="1:45" x14ac:dyDescent="0.25">
      <c r="A164" s="4"/>
      <c r="B164" s="4"/>
      <c r="C164" s="4">
        <v>13</v>
      </c>
      <c r="D164" s="4" t="s">
        <v>370</v>
      </c>
      <c r="E164" s="5">
        <v>25.065000000000001</v>
      </c>
      <c r="F164" s="5" t="s">
        <v>31</v>
      </c>
      <c r="G164" s="13" t="s">
        <v>24</v>
      </c>
      <c r="H164" s="5" t="s">
        <v>31</v>
      </c>
      <c r="I164" s="4" t="s">
        <v>31</v>
      </c>
      <c r="J164" s="4"/>
      <c r="K164" s="4" t="s">
        <v>26</v>
      </c>
      <c r="L164" s="4">
        <v>13</v>
      </c>
      <c r="M164" s="4" t="str">
        <f t="shared" si="20"/>
        <v>A13</v>
      </c>
      <c r="N164" s="4" t="s">
        <v>371</v>
      </c>
      <c r="O164" s="4">
        <v>193</v>
      </c>
      <c r="P164">
        <v>193</v>
      </c>
      <c r="Q164" t="s">
        <v>28</v>
      </c>
      <c r="R164" t="b">
        <f t="shared" si="21"/>
        <v>1</v>
      </c>
      <c r="S164" s="4" t="s">
        <v>370</v>
      </c>
      <c r="T164" s="3">
        <v>1626</v>
      </c>
      <c r="U164" s="4" t="s">
        <v>31</v>
      </c>
      <c r="V164" s="5">
        <v>25.065000000000001</v>
      </c>
      <c r="W164" s="5" t="s">
        <v>31</v>
      </c>
      <c r="X164" s="3" t="s">
        <v>372</v>
      </c>
      <c r="Y164" s="12" t="e">
        <f t="shared" si="22"/>
        <v>#VALUE!</v>
      </c>
      <c r="AA164" t="b">
        <f t="shared" si="23"/>
        <v>1</v>
      </c>
      <c r="AB164" s="18" t="s">
        <v>373</v>
      </c>
      <c r="AC164" s="18" t="s">
        <v>370</v>
      </c>
      <c r="AD164" s="26" t="s">
        <v>374</v>
      </c>
      <c r="AE164" s="26"/>
      <c r="AF164" s="26" t="s">
        <v>374</v>
      </c>
      <c r="AG164" s="26" t="s">
        <v>374</v>
      </c>
      <c r="AH164" s="3"/>
      <c r="AL164" s="3">
        <v>1626</v>
      </c>
      <c r="AM164" s="34" t="s">
        <v>374</v>
      </c>
      <c r="AN164" s="17"/>
      <c r="AO164" s="17"/>
      <c r="AP164" s="34"/>
      <c r="AQ164" s="3"/>
      <c r="AR164" s="3"/>
      <c r="AS164" s="4" t="s">
        <v>31</v>
      </c>
    </row>
    <row r="165" spans="1:45" x14ac:dyDescent="0.25">
      <c r="A165" s="4"/>
      <c r="B165" s="4"/>
      <c r="C165" s="4">
        <v>61</v>
      </c>
      <c r="D165" s="4" t="s">
        <v>375</v>
      </c>
      <c r="E165" s="5">
        <v>26.722000000000001</v>
      </c>
      <c r="F165" s="5">
        <v>28.763999999999999</v>
      </c>
      <c r="G165" s="13" t="s">
        <v>24</v>
      </c>
      <c r="H165" s="5" t="s">
        <v>24</v>
      </c>
      <c r="I165" s="4" t="s">
        <v>25</v>
      </c>
      <c r="J165" s="4"/>
      <c r="K165" s="4" t="s">
        <v>32</v>
      </c>
      <c r="L165" s="4">
        <v>13</v>
      </c>
      <c r="M165" s="4" t="str">
        <f t="shared" si="20"/>
        <v>C13</v>
      </c>
      <c r="N165" s="4" t="s">
        <v>371</v>
      </c>
      <c r="O165" s="4">
        <v>195</v>
      </c>
      <c r="P165">
        <v>194</v>
      </c>
      <c r="Q165" t="s">
        <v>28</v>
      </c>
      <c r="R165" t="b">
        <f t="shared" si="21"/>
        <v>1</v>
      </c>
      <c r="S165" s="4" t="s">
        <v>375</v>
      </c>
      <c r="T165" s="3">
        <v>1627</v>
      </c>
      <c r="U165" s="4" t="s">
        <v>25</v>
      </c>
      <c r="V165" s="5">
        <v>26.722000000000001</v>
      </c>
      <c r="W165" s="5">
        <v>28.763999999999999</v>
      </c>
      <c r="X165" s="3" t="s">
        <v>376</v>
      </c>
      <c r="Y165" s="12">
        <f t="shared" si="22"/>
        <v>-2.041999999999998</v>
      </c>
      <c r="AA165" t="b">
        <f t="shared" si="23"/>
        <v>1</v>
      </c>
      <c r="AB165" s="18" t="s">
        <v>377</v>
      </c>
      <c r="AC165" s="18" t="s">
        <v>375</v>
      </c>
      <c r="AD165" s="3">
        <v>712.39</v>
      </c>
      <c r="AE165" s="3"/>
      <c r="AF165" s="3">
        <v>368</v>
      </c>
      <c r="AG165" s="26" t="s">
        <v>374</v>
      </c>
      <c r="AH165" s="3" t="s">
        <v>19</v>
      </c>
      <c r="AL165" s="3">
        <v>1627</v>
      </c>
      <c r="AM165" s="17">
        <v>712.39</v>
      </c>
      <c r="AN165" s="40">
        <f>(AM165-122)/3</f>
        <v>196.79666666666665</v>
      </c>
      <c r="AO165" s="40">
        <f>AN165*1.0425+1.2088</f>
        <v>206.36932499999998</v>
      </c>
      <c r="AP165" s="17"/>
      <c r="AQ165" s="3"/>
      <c r="AR165" s="3"/>
      <c r="AS165" s="4" t="s">
        <v>25</v>
      </c>
    </row>
    <row r="166" spans="1:45" x14ac:dyDescent="0.25">
      <c r="A166" s="4"/>
      <c r="B166" s="4"/>
      <c r="C166" s="4">
        <v>109</v>
      </c>
      <c r="D166" s="4" t="s">
        <v>378</v>
      </c>
      <c r="E166" s="5">
        <v>25.481000000000002</v>
      </c>
      <c r="F166" s="5" t="s">
        <v>31</v>
      </c>
      <c r="G166" s="13" t="s">
        <v>24</v>
      </c>
      <c r="H166" s="5" t="s">
        <v>31</v>
      </c>
      <c r="I166" s="4" t="s">
        <v>31</v>
      </c>
      <c r="J166" s="4"/>
      <c r="K166" s="4" t="s">
        <v>35</v>
      </c>
      <c r="L166" s="4">
        <v>13</v>
      </c>
      <c r="M166" s="4" t="str">
        <f t="shared" si="20"/>
        <v>E13</v>
      </c>
      <c r="N166" s="4" t="s">
        <v>371</v>
      </c>
      <c r="O166" s="4">
        <v>197</v>
      </c>
      <c r="P166">
        <v>195</v>
      </c>
      <c r="Q166" t="s">
        <v>28</v>
      </c>
      <c r="R166" t="b">
        <f t="shared" si="21"/>
        <v>1</v>
      </c>
      <c r="S166" s="4" t="s">
        <v>378</v>
      </c>
      <c r="T166" s="3">
        <v>1628</v>
      </c>
      <c r="U166" s="4" t="s">
        <v>31</v>
      </c>
      <c r="V166" s="5">
        <v>25.481000000000002</v>
      </c>
      <c r="W166" s="5" t="s">
        <v>31</v>
      </c>
      <c r="X166" s="3" t="s">
        <v>379</v>
      </c>
      <c r="Y166" s="12" t="e">
        <f t="shared" si="22"/>
        <v>#VALUE!</v>
      </c>
      <c r="AA166" t="b">
        <f t="shared" si="23"/>
        <v>1</v>
      </c>
      <c r="AB166" s="18" t="s">
        <v>380</v>
      </c>
      <c r="AC166" s="18" t="s">
        <v>378</v>
      </c>
      <c r="AD166" s="26" t="s">
        <v>374</v>
      </c>
      <c r="AE166" s="26"/>
      <c r="AF166" s="26" t="s">
        <v>374</v>
      </c>
      <c r="AG166" s="26" t="s">
        <v>374</v>
      </c>
      <c r="AH166" s="3"/>
      <c r="AL166" s="3">
        <v>1628</v>
      </c>
      <c r="AM166" s="34" t="s">
        <v>374</v>
      </c>
      <c r="AN166" s="17"/>
      <c r="AO166" s="17"/>
      <c r="AP166" s="34"/>
      <c r="AQ166" s="3"/>
      <c r="AR166" s="3"/>
      <c r="AS166" s="4" t="s">
        <v>31</v>
      </c>
    </row>
    <row r="167" spans="1:45" x14ac:dyDescent="0.25">
      <c r="A167" s="4"/>
      <c r="B167" s="4"/>
      <c r="C167" s="4">
        <v>157</v>
      </c>
      <c r="D167" s="4" t="s">
        <v>381</v>
      </c>
      <c r="E167" s="5">
        <v>27.065000000000001</v>
      </c>
      <c r="F167" s="5">
        <v>28.937000000000001</v>
      </c>
      <c r="G167" s="13" t="s">
        <v>24</v>
      </c>
      <c r="H167" s="5" t="s">
        <v>24</v>
      </c>
      <c r="I167" s="4" t="s">
        <v>25</v>
      </c>
      <c r="J167" s="4"/>
      <c r="K167" s="4" t="s">
        <v>38</v>
      </c>
      <c r="L167" s="4">
        <v>13</v>
      </c>
      <c r="M167" s="4" t="str">
        <f t="shared" si="20"/>
        <v>G13</v>
      </c>
      <c r="N167" s="4" t="s">
        <v>371</v>
      </c>
      <c r="O167" s="4">
        <v>199</v>
      </c>
      <c r="P167">
        <v>196</v>
      </c>
      <c r="Q167" t="s">
        <v>28</v>
      </c>
      <c r="R167" t="b">
        <f t="shared" si="21"/>
        <v>1</v>
      </c>
      <c r="S167" s="4" t="s">
        <v>381</v>
      </c>
      <c r="T167" s="3">
        <v>1629</v>
      </c>
      <c r="U167" s="4" t="s">
        <v>25</v>
      </c>
      <c r="V167" s="5">
        <v>27.065000000000001</v>
      </c>
      <c r="W167" s="5">
        <v>28.937000000000001</v>
      </c>
      <c r="X167" s="3" t="s">
        <v>382</v>
      </c>
      <c r="Y167" s="12">
        <f t="shared" si="22"/>
        <v>-1.8719999999999999</v>
      </c>
      <c r="AA167" t="b">
        <f t="shared" si="23"/>
        <v>1</v>
      </c>
      <c r="AB167" s="18" t="s">
        <v>383</v>
      </c>
      <c r="AC167" s="18" t="s">
        <v>381</v>
      </c>
      <c r="AD167" s="3">
        <v>706.67</v>
      </c>
      <c r="AE167" s="3"/>
      <c r="AF167" s="3">
        <v>277</v>
      </c>
      <c r="AG167" s="26" t="s">
        <v>374</v>
      </c>
      <c r="AH167" s="3" t="s">
        <v>19</v>
      </c>
      <c r="AL167" s="3">
        <v>1629</v>
      </c>
      <c r="AM167" s="17">
        <v>706.67</v>
      </c>
      <c r="AN167" s="40">
        <f>(AM167-122)/3</f>
        <v>194.89</v>
      </c>
      <c r="AO167" s="40">
        <f>AN167*1.0425+1.2088</f>
        <v>204.38162499999999</v>
      </c>
      <c r="AP167" s="17"/>
      <c r="AQ167" s="3"/>
      <c r="AR167" s="3"/>
      <c r="AS167" s="4" t="s">
        <v>25</v>
      </c>
    </row>
    <row r="168" spans="1:45" x14ac:dyDescent="0.25">
      <c r="A168" s="4"/>
      <c r="B168" s="4"/>
      <c r="C168" s="4">
        <v>205</v>
      </c>
      <c r="D168" s="4" t="s">
        <v>384</v>
      </c>
      <c r="E168" s="5">
        <v>26.338000000000001</v>
      </c>
      <c r="F168" s="5">
        <v>28.248999999999999</v>
      </c>
      <c r="G168" s="13" t="s">
        <v>24</v>
      </c>
      <c r="H168" s="5" t="s">
        <v>24</v>
      </c>
      <c r="I168" s="4" t="s">
        <v>25</v>
      </c>
      <c r="J168" s="4"/>
      <c r="K168" s="4" t="s">
        <v>41</v>
      </c>
      <c r="L168" s="4">
        <v>13</v>
      </c>
      <c r="M168" s="4" t="str">
        <f t="shared" si="20"/>
        <v>I13</v>
      </c>
      <c r="N168" s="4" t="s">
        <v>385</v>
      </c>
      <c r="O168" s="4">
        <v>289</v>
      </c>
      <c r="P168">
        <v>197</v>
      </c>
      <c r="Q168" t="s">
        <v>28</v>
      </c>
      <c r="R168" t="b">
        <f t="shared" si="21"/>
        <v>1</v>
      </c>
      <c r="S168" s="4" t="s">
        <v>384</v>
      </c>
      <c r="T168" s="3">
        <v>1630</v>
      </c>
      <c r="U168" s="4" t="s">
        <v>25</v>
      </c>
      <c r="V168" s="5">
        <v>26.338000000000001</v>
      </c>
      <c r="W168" s="5">
        <v>28.248999999999999</v>
      </c>
      <c r="X168" s="3" t="s">
        <v>386</v>
      </c>
      <c r="Y168" s="12">
        <f t="shared" si="22"/>
        <v>-1.9109999999999978</v>
      </c>
      <c r="AA168" t="b">
        <f t="shared" si="23"/>
        <v>1</v>
      </c>
      <c r="AB168" s="18" t="s">
        <v>387</v>
      </c>
      <c r="AC168" s="18" t="s">
        <v>384</v>
      </c>
      <c r="AD168" s="26">
        <v>700.85</v>
      </c>
      <c r="AE168" s="26"/>
      <c r="AF168" s="26">
        <v>82</v>
      </c>
      <c r="AG168" s="26">
        <v>1895</v>
      </c>
      <c r="AH168" s="3"/>
      <c r="AL168" s="3">
        <v>1630</v>
      </c>
      <c r="AM168" s="34">
        <v>700.85</v>
      </c>
      <c r="AN168" s="40">
        <f>(AM168-122)/3</f>
        <v>192.95000000000002</v>
      </c>
      <c r="AO168" s="40">
        <f>AN168*1.0425+1.2088</f>
        <v>202.35917500000002</v>
      </c>
      <c r="AP168" s="34"/>
      <c r="AQ168" s="3"/>
      <c r="AR168" s="3"/>
      <c r="AS168" s="4" t="s">
        <v>25</v>
      </c>
    </row>
    <row r="169" spans="1:45" x14ac:dyDescent="0.25">
      <c r="A169" s="4"/>
      <c r="B169" s="4"/>
      <c r="C169" s="4">
        <v>253</v>
      </c>
      <c r="D169" s="4" t="s">
        <v>388</v>
      </c>
      <c r="E169" s="5">
        <v>25.978000000000002</v>
      </c>
      <c r="F169" s="5">
        <v>27.68</v>
      </c>
      <c r="G169" s="13" t="s">
        <v>24</v>
      </c>
      <c r="H169" s="5" t="s">
        <v>24</v>
      </c>
      <c r="I169" s="4" t="s">
        <v>25</v>
      </c>
      <c r="J169" s="4"/>
      <c r="K169" s="4" t="s">
        <v>45</v>
      </c>
      <c r="L169" s="4">
        <v>13</v>
      </c>
      <c r="M169" s="4" t="str">
        <f t="shared" si="20"/>
        <v>K13</v>
      </c>
      <c r="N169" s="4" t="s">
        <v>385</v>
      </c>
      <c r="O169" s="4">
        <v>291</v>
      </c>
      <c r="P169">
        <v>198</v>
      </c>
      <c r="Q169" t="s">
        <v>28</v>
      </c>
      <c r="R169" t="b">
        <f t="shared" si="21"/>
        <v>1</v>
      </c>
      <c r="S169" s="4" t="s">
        <v>388</v>
      </c>
      <c r="T169" s="3">
        <v>1631</v>
      </c>
      <c r="U169" s="4" t="s">
        <v>25</v>
      </c>
      <c r="V169" s="5">
        <v>25.978000000000002</v>
      </c>
      <c r="W169" s="5">
        <v>27.68</v>
      </c>
      <c r="X169" s="3" t="s">
        <v>389</v>
      </c>
      <c r="Y169" s="12">
        <f t="shared" si="22"/>
        <v>-1.7019999999999982</v>
      </c>
      <c r="AA169" t="b">
        <f t="shared" si="23"/>
        <v>1</v>
      </c>
      <c r="AB169" s="18" t="s">
        <v>390</v>
      </c>
      <c r="AC169" s="18" t="s">
        <v>388</v>
      </c>
      <c r="AD169" s="31">
        <v>180</v>
      </c>
      <c r="AE169" s="3"/>
      <c r="AF169" s="3"/>
      <c r="AG169" s="26" t="s">
        <v>374</v>
      </c>
      <c r="AH169" s="3" t="s">
        <v>19</v>
      </c>
      <c r="AL169" s="3">
        <v>1631</v>
      </c>
      <c r="AM169" s="36">
        <v>180</v>
      </c>
      <c r="AN169" s="40">
        <f>(AM169-122)/3</f>
        <v>19.333333333333332</v>
      </c>
      <c r="AO169" s="40">
        <f>AN169*1.0425+1.2088</f>
        <v>21.363799999999998</v>
      </c>
      <c r="AP169" s="17"/>
      <c r="AQ169" s="3"/>
      <c r="AR169" s="3"/>
      <c r="AS169" s="4" t="s">
        <v>25</v>
      </c>
    </row>
    <row r="170" spans="1:45" x14ac:dyDescent="0.25">
      <c r="A170" s="4"/>
      <c r="B170" s="4"/>
      <c r="C170" s="4">
        <v>301</v>
      </c>
      <c r="D170" s="4" t="s">
        <v>391</v>
      </c>
      <c r="E170" s="5">
        <v>25.07</v>
      </c>
      <c r="F170" s="5" t="s">
        <v>31</v>
      </c>
      <c r="G170" s="13" t="s">
        <v>24</v>
      </c>
      <c r="H170" s="5" t="s">
        <v>31</v>
      </c>
      <c r="I170" s="4" t="s">
        <v>31</v>
      </c>
      <c r="J170" s="4"/>
      <c r="K170" s="4" t="s">
        <v>48</v>
      </c>
      <c r="L170" s="4">
        <v>13</v>
      </c>
      <c r="M170" s="4" t="str">
        <f t="shared" si="20"/>
        <v>M13</v>
      </c>
      <c r="N170" s="4" t="s">
        <v>385</v>
      </c>
      <c r="O170" s="4">
        <v>293</v>
      </c>
      <c r="P170">
        <v>199</v>
      </c>
      <c r="Q170" t="s">
        <v>28</v>
      </c>
      <c r="R170" t="b">
        <f t="shared" si="21"/>
        <v>1</v>
      </c>
      <c r="S170" s="4" t="s">
        <v>391</v>
      </c>
      <c r="T170" s="3">
        <v>1632</v>
      </c>
      <c r="U170" s="4" t="s">
        <v>31</v>
      </c>
      <c r="V170" s="5">
        <v>25.07</v>
      </c>
      <c r="W170" s="5" t="s">
        <v>31</v>
      </c>
      <c r="X170" s="3" t="s">
        <v>392</v>
      </c>
      <c r="Y170" s="12" t="e">
        <f t="shared" si="22"/>
        <v>#VALUE!</v>
      </c>
      <c r="AA170" t="b">
        <f t="shared" si="23"/>
        <v>1</v>
      </c>
      <c r="AB170" s="18" t="s">
        <v>393</v>
      </c>
      <c r="AC170" s="18" t="s">
        <v>391</v>
      </c>
      <c r="AD170" s="26" t="s">
        <v>374</v>
      </c>
      <c r="AE170" s="26"/>
      <c r="AF170" s="26" t="s">
        <v>374</v>
      </c>
      <c r="AG170" s="26" t="s">
        <v>374</v>
      </c>
      <c r="AH170" s="3"/>
      <c r="AL170" s="3">
        <v>1632</v>
      </c>
      <c r="AM170" s="34" t="s">
        <v>374</v>
      </c>
      <c r="AN170" s="17"/>
      <c r="AO170" s="17"/>
      <c r="AP170" s="34"/>
      <c r="AQ170" s="3"/>
      <c r="AR170" s="3"/>
      <c r="AS170" s="4" t="s">
        <v>31</v>
      </c>
    </row>
    <row r="171" spans="1:45" x14ac:dyDescent="0.25">
      <c r="A171" s="4"/>
      <c r="B171" s="4"/>
      <c r="C171" s="4">
        <v>349</v>
      </c>
      <c r="D171" s="4" t="s">
        <v>394</v>
      </c>
      <c r="E171" s="5">
        <v>25.417000000000002</v>
      </c>
      <c r="F171" s="5" t="s">
        <v>31</v>
      </c>
      <c r="G171" s="13" t="s">
        <v>24</v>
      </c>
      <c r="H171" s="5" t="s">
        <v>31</v>
      </c>
      <c r="I171" s="4" t="s">
        <v>31</v>
      </c>
      <c r="J171" s="4"/>
      <c r="K171" s="4" t="s">
        <v>51</v>
      </c>
      <c r="L171" s="4">
        <v>13</v>
      </c>
      <c r="M171" s="4" t="str">
        <f t="shared" si="20"/>
        <v>O13</v>
      </c>
      <c r="N171" s="4" t="s">
        <v>385</v>
      </c>
      <c r="O171" s="4">
        <v>295</v>
      </c>
      <c r="P171">
        <v>200</v>
      </c>
      <c r="Q171" t="s">
        <v>28</v>
      </c>
      <c r="R171" t="b">
        <f t="shared" si="21"/>
        <v>1</v>
      </c>
      <c r="S171" s="4" t="s">
        <v>394</v>
      </c>
      <c r="T171" s="3">
        <v>1633</v>
      </c>
      <c r="U171" s="4" t="s">
        <v>31</v>
      </c>
      <c r="V171" s="5">
        <v>25.417000000000002</v>
      </c>
      <c r="W171" s="5" t="s">
        <v>31</v>
      </c>
      <c r="X171" s="3" t="s">
        <v>395</v>
      </c>
      <c r="Y171" s="12" t="e">
        <f t="shared" si="22"/>
        <v>#VALUE!</v>
      </c>
      <c r="AA171" t="b">
        <f t="shared" si="23"/>
        <v>1</v>
      </c>
      <c r="AB171" s="18" t="s">
        <v>396</v>
      </c>
      <c r="AC171" s="18" t="s">
        <v>394</v>
      </c>
      <c r="AD171" s="26" t="s">
        <v>374</v>
      </c>
      <c r="AE171" s="26"/>
      <c r="AF171" s="26" t="s">
        <v>374</v>
      </c>
      <c r="AG171" s="26" t="s">
        <v>374</v>
      </c>
      <c r="AH171" s="3"/>
      <c r="AL171" s="3">
        <v>1633</v>
      </c>
      <c r="AM171" s="34" t="s">
        <v>374</v>
      </c>
      <c r="AN171" s="17"/>
      <c r="AO171" s="17"/>
      <c r="AP171" s="34"/>
      <c r="AQ171" s="3"/>
      <c r="AR171" s="3"/>
      <c r="AS171" s="4" t="s">
        <v>31</v>
      </c>
    </row>
    <row r="172" spans="1:45" x14ac:dyDescent="0.25">
      <c r="A172" s="4"/>
      <c r="B172" s="4"/>
      <c r="C172" s="4">
        <v>37</v>
      </c>
      <c r="D172" s="4" t="s">
        <v>397</v>
      </c>
      <c r="E172" s="5">
        <v>25.131</v>
      </c>
      <c r="F172" s="5" t="s">
        <v>31</v>
      </c>
      <c r="G172" s="13" t="s">
        <v>24</v>
      </c>
      <c r="H172" s="5" t="s">
        <v>31</v>
      </c>
      <c r="I172" s="4" t="s">
        <v>31</v>
      </c>
      <c r="J172" s="4"/>
      <c r="K172" s="4" t="s">
        <v>54</v>
      </c>
      <c r="L172" s="4">
        <v>13</v>
      </c>
      <c r="M172" s="4" t="str">
        <f t="shared" si="20"/>
        <v>B13</v>
      </c>
      <c r="N172" s="4" t="s">
        <v>371</v>
      </c>
      <c r="O172" s="4">
        <v>194</v>
      </c>
      <c r="P172">
        <v>201</v>
      </c>
      <c r="Q172" t="s">
        <v>28</v>
      </c>
      <c r="R172" t="b">
        <f t="shared" si="21"/>
        <v>1</v>
      </c>
      <c r="S172" s="4" t="s">
        <v>397</v>
      </c>
      <c r="T172" s="3">
        <v>1634</v>
      </c>
      <c r="U172" s="4" t="s">
        <v>31</v>
      </c>
      <c r="V172" s="5">
        <v>25.131</v>
      </c>
      <c r="W172" s="5" t="s">
        <v>31</v>
      </c>
      <c r="X172" s="3" t="s">
        <v>398</v>
      </c>
      <c r="Y172" s="12" t="e">
        <f t="shared" si="22"/>
        <v>#VALUE!</v>
      </c>
      <c r="AA172" t="b">
        <f t="shared" si="23"/>
        <v>1</v>
      </c>
      <c r="AB172" s="18" t="s">
        <v>399</v>
      </c>
      <c r="AC172" s="18" t="s">
        <v>397</v>
      </c>
      <c r="AD172" s="26" t="s">
        <v>374</v>
      </c>
      <c r="AE172" s="26"/>
      <c r="AF172" s="26" t="s">
        <v>374</v>
      </c>
      <c r="AG172" s="26" t="s">
        <v>374</v>
      </c>
      <c r="AH172" s="3"/>
      <c r="AL172" s="3">
        <v>1634</v>
      </c>
      <c r="AM172" s="34" t="s">
        <v>374</v>
      </c>
      <c r="AN172" s="17"/>
      <c r="AO172" s="17"/>
      <c r="AP172" s="34"/>
      <c r="AQ172" s="3"/>
      <c r="AR172" s="3"/>
      <c r="AS172" s="4" t="s">
        <v>31</v>
      </c>
    </row>
    <row r="173" spans="1:45" x14ac:dyDescent="0.25">
      <c r="A173" s="4"/>
      <c r="B173" s="4"/>
      <c r="C173" s="4">
        <v>85</v>
      </c>
      <c r="D173" s="4" t="s">
        <v>400</v>
      </c>
      <c r="E173" s="5">
        <v>25.745000000000001</v>
      </c>
      <c r="F173" s="5">
        <v>27.765000000000001</v>
      </c>
      <c r="G173" s="13" t="s">
        <v>24</v>
      </c>
      <c r="H173" s="5" t="s">
        <v>24</v>
      </c>
      <c r="I173" s="4" t="s">
        <v>25</v>
      </c>
      <c r="J173" s="4"/>
      <c r="K173" s="4" t="s">
        <v>57</v>
      </c>
      <c r="L173" s="4">
        <v>13</v>
      </c>
      <c r="M173" s="4" t="str">
        <f t="shared" si="20"/>
        <v>D13</v>
      </c>
      <c r="N173" s="4" t="s">
        <v>371</v>
      </c>
      <c r="O173" s="4">
        <v>196</v>
      </c>
      <c r="P173">
        <v>202</v>
      </c>
      <c r="Q173" t="s">
        <v>28</v>
      </c>
      <c r="R173" t="b">
        <f t="shared" si="21"/>
        <v>1</v>
      </c>
      <c r="S173" s="4" t="s">
        <v>400</v>
      </c>
      <c r="T173" s="3">
        <v>1635</v>
      </c>
      <c r="U173" s="4" t="s">
        <v>25</v>
      </c>
      <c r="V173" s="5">
        <v>25.745000000000001</v>
      </c>
      <c r="W173" s="5">
        <v>27.765000000000001</v>
      </c>
      <c r="X173" s="3" t="s">
        <v>401</v>
      </c>
      <c r="Y173" s="12">
        <f t="shared" si="22"/>
        <v>-2.0199999999999996</v>
      </c>
      <c r="AA173" t="b">
        <f t="shared" si="23"/>
        <v>1</v>
      </c>
      <c r="AB173" s="18" t="s">
        <v>402</v>
      </c>
      <c r="AC173" s="18" t="s">
        <v>400</v>
      </c>
      <c r="AD173" s="26">
        <v>689.7</v>
      </c>
      <c r="AE173" s="26"/>
      <c r="AF173" s="26">
        <v>66</v>
      </c>
      <c r="AG173" s="26">
        <v>1445</v>
      </c>
      <c r="AH173" s="3"/>
      <c r="AL173" s="3">
        <v>1635</v>
      </c>
      <c r="AM173" s="34">
        <v>689.7</v>
      </c>
      <c r="AN173" s="40">
        <f>(AM173-122)/3</f>
        <v>189.23333333333335</v>
      </c>
      <c r="AO173" s="40">
        <f>AN173*1.0425+1.2088</f>
        <v>198.48455000000001</v>
      </c>
      <c r="AP173" s="34"/>
      <c r="AQ173" s="3"/>
      <c r="AR173" s="3"/>
      <c r="AS173" s="4" t="s">
        <v>25</v>
      </c>
    </row>
    <row r="174" spans="1:45" x14ac:dyDescent="0.25">
      <c r="A174" s="4"/>
      <c r="B174" s="4"/>
      <c r="C174" s="4">
        <v>133</v>
      </c>
      <c r="D174" s="4" t="s">
        <v>403</v>
      </c>
      <c r="E174" s="5">
        <v>25.852</v>
      </c>
      <c r="F174" s="5">
        <v>27.922000000000001</v>
      </c>
      <c r="G174" s="13" t="s">
        <v>24</v>
      </c>
      <c r="H174" s="5" t="s">
        <v>24</v>
      </c>
      <c r="I174" s="4" t="s">
        <v>25</v>
      </c>
      <c r="J174" s="4"/>
      <c r="K174" s="4" t="s">
        <v>60</v>
      </c>
      <c r="L174" s="4">
        <v>13</v>
      </c>
      <c r="M174" s="4" t="str">
        <f t="shared" si="20"/>
        <v>F13</v>
      </c>
      <c r="N174" s="4" t="s">
        <v>371</v>
      </c>
      <c r="O174" s="4">
        <v>198</v>
      </c>
      <c r="P174">
        <v>203</v>
      </c>
      <c r="Q174" t="s">
        <v>28</v>
      </c>
      <c r="R174" t="b">
        <f t="shared" si="21"/>
        <v>1</v>
      </c>
      <c r="S174" s="4" t="s">
        <v>403</v>
      </c>
      <c r="T174" s="3">
        <v>1636</v>
      </c>
      <c r="U174" s="4" t="s">
        <v>25</v>
      </c>
      <c r="V174" s="5">
        <v>25.852</v>
      </c>
      <c r="W174" s="5">
        <v>27.922000000000001</v>
      </c>
      <c r="X174" s="3" t="s">
        <v>404</v>
      </c>
      <c r="Y174" s="12">
        <f t="shared" si="22"/>
        <v>-2.0700000000000003</v>
      </c>
      <c r="AA174" t="b">
        <f t="shared" si="23"/>
        <v>1</v>
      </c>
      <c r="AB174" s="18" t="s">
        <v>405</v>
      </c>
      <c r="AC174" s="18" t="s">
        <v>403</v>
      </c>
      <c r="AD174" s="26">
        <v>701.15</v>
      </c>
      <c r="AE174" s="26"/>
      <c r="AF174" s="26">
        <v>115</v>
      </c>
      <c r="AG174" s="26">
        <v>2530</v>
      </c>
      <c r="AH174" s="3"/>
      <c r="AL174" s="3">
        <v>1636</v>
      </c>
      <c r="AM174" s="34">
        <v>701.15</v>
      </c>
      <c r="AN174" s="40">
        <f>(AM174-122)/3</f>
        <v>193.04999999999998</v>
      </c>
      <c r="AO174" s="40">
        <f>AN174*1.0425+1.2088</f>
        <v>202.46342499999997</v>
      </c>
      <c r="AP174" s="34"/>
      <c r="AQ174" s="3"/>
      <c r="AR174" s="3"/>
      <c r="AS174" s="4" t="s">
        <v>25</v>
      </c>
    </row>
    <row r="175" spans="1:45" x14ac:dyDescent="0.25">
      <c r="A175" s="4"/>
      <c r="B175" s="4"/>
      <c r="C175" s="4">
        <v>181</v>
      </c>
      <c r="D175" s="4" t="s">
        <v>406</v>
      </c>
      <c r="E175" s="5">
        <v>25.300999999999998</v>
      </c>
      <c r="F175" s="5" t="s">
        <v>31</v>
      </c>
      <c r="G175" s="13" t="s">
        <v>24</v>
      </c>
      <c r="H175" s="5" t="s">
        <v>31</v>
      </c>
      <c r="I175" s="4" t="s">
        <v>31</v>
      </c>
      <c r="J175" s="4"/>
      <c r="K175" s="4" t="s">
        <v>64</v>
      </c>
      <c r="L175" s="4">
        <v>13</v>
      </c>
      <c r="M175" s="4" t="str">
        <f t="shared" si="20"/>
        <v>H13</v>
      </c>
      <c r="N175" s="4" t="s">
        <v>371</v>
      </c>
      <c r="O175" s="4">
        <v>200</v>
      </c>
      <c r="P175">
        <v>204</v>
      </c>
      <c r="Q175" t="s">
        <v>28</v>
      </c>
      <c r="R175" t="b">
        <f t="shared" si="21"/>
        <v>1</v>
      </c>
      <c r="S175" s="4" t="s">
        <v>406</v>
      </c>
      <c r="T175" s="3">
        <v>1637</v>
      </c>
      <c r="U175" s="4" t="s">
        <v>31</v>
      </c>
      <c r="V175" s="5">
        <v>25.300999999999998</v>
      </c>
      <c r="W175" s="5" t="s">
        <v>31</v>
      </c>
      <c r="X175" s="3" t="s">
        <v>407</v>
      </c>
      <c r="Y175" s="12" t="e">
        <f t="shared" si="22"/>
        <v>#VALUE!</v>
      </c>
      <c r="AA175" t="b">
        <f t="shared" si="23"/>
        <v>1</v>
      </c>
      <c r="AB175" s="18" t="s">
        <v>408</v>
      </c>
      <c r="AC175" s="18" t="s">
        <v>406</v>
      </c>
      <c r="AD175" s="26" t="s">
        <v>374</v>
      </c>
      <c r="AE175" s="26"/>
      <c r="AF175" s="26" t="s">
        <v>374</v>
      </c>
      <c r="AG175" s="26" t="s">
        <v>374</v>
      </c>
      <c r="AH175" s="3"/>
      <c r="AL175" s="3">
        <v>1637</v>
      </c>
      <c r="AM175" s="34" t="s">
        <v>374</v>
      </c>
      <c r="AN175" s="17"/>
      <c r="AO175" s="17"/>
      <c r="AP175" s="34"/>
      <c r="AQ175" s="3"/>
      <c r="AR175" s="3"/>
      <c r="AS175" s="4" t="s">
        <v>31</v>
      </c>
    </row>
    <row r="176" spans="1:45" x14ac:dyDescent="0.25">
      <c r="A176" s="4"/>
      <c r="B176" s="4"/>
      <c r="C176" s="4">
        <v>229</v>
      </c>
      <c r="D176" s="4" t="s">
        <v>409</v>
      </c>
      <c r="E176" s="5">
        <v>26.053999999999998</v>
      </c>
      <c r="F176" s="5">
        <v>28.234999999999999</v>
      </c>
      <c r="G176" s="13" t="s">
        <v>24</v>
      </c>
      <c r="H176" s="5" t="s">
        <v>24</v>
      </c>
      <c r="I176" s="4" t="s">
        <v>25</v>
      </c>
      <c r="J176" s="4"/>
      <c r="K176" s="4" t="s">
        <v>67</v>
      </c>
      <c r="L176" s="4">
        <v>13</v>
      </c>
      <c r="M176" s="4" t="str">
        <f t="shared" si="20"/>
        <v>J13</v>
      </c>
      <c r="N176" s="4" t="s">
        <v>385</v>
      </c>
      <c r="O176" s="4">
        <v>290</v>
      </c>
      <c r="P176">
        <v>205</v>
      </c>
      <c r="Q176" t="s">
        <v>28</v>
      </c>
      <c r="R176" t="b">
        <f t="shared" si="21"/>
        <v>1</v>
      </c>
      <c r="S176" s="4" t="s">
        <v>409</v>
      </c>
      <c r="T176" s="3">
        <v>1638</v>
      </c>
      <c r="U176" s="4" t="s">
        <v>25</v>
      </c>
      <c r="V176" s="5">
        <v>26.053999999999998</v>
      </c>
      <c r="W176" s="5">
        <v>28.234999999999999</v>
      </c>
      <c r="X176" s="3" t="s">
        <v>410</v>
      </c>
      <c r="Y176" s="12">
        <f t="shared" si="22"/>
        <v>-2.1810000000000009</v>
      </c>
      <c r="AA176" t="b">
        <f t="shared" si="23"/>
        <v>1</v>
      </c>
      <c r="AB176" s="18" t="s">
        <v>411</v>
      </c>
      <c r="AC176" s="18" t="s">
        <v>409</v>
      </c>
      <c r="AD176" s="26">
        <v>686.64</v>
      </c>
      <c r="AE176" s="26"/>
      <c r="AF176" s="26">
        <v>129</v>
      </c>
      <c r="AG176" s="26">
        <v>2596</v>
      </c>
      <c r="AH176" s="3"/>
      <c r="AL176" s="3">
        <v>1638</v>
      </c>
      <c r="AM176" s="34">
        <v>686.64</v>
      </c>
      <c r="AN176" s="40">
        <f>(AM176-122)/3</f>
        <v>188.21333333333334</v>
      </c>
      <c r="AO176" s="40">
        <f>AN176*1.0425+1.2088</f>
        <v>197.4212</v>
      </c>
      <c r="AP176" s="34"/>
      <c r="AQ176" s="3"/>
      <c r="AR176" s="3"/>
      <c r="AS176" s="4" t="s">
        <v>25</v>
      </c>
    </row>
    <row r="177" spans="1:45" x14ac:dyDescent="0.25">
      <c r="A177" s="4"/>
      <c r="B177" s="4"/>
      <c r="C177" s="4">
        <v>277</v>
      </c>
      <c r="D177" s="4" t="s">
        <v>412</v>
      </c>
      <c r="E177" s="5">
        <v>25.728000000000002</v>
      </c>
      <c r="F177" s="5" t="s">
        <v>31</v>
      </c>
      <c r="G177" s="13" t="s">
        <v>24</v>
      </c>
      <c r="H177" s="5" t="s">
        <v>31</v>
      </c>
      <c r="I177" s="4" t="s">
        <v>31</v>
      </c>
      <c r="J177" s="4"/>
      <c r="K177" s="4" t="s">
        <v>70</v>
      </c>
      <c r="L177" s="4">
        <v>13</v>
      </c>
      <c r="M177" s="4" t="str">
        <f t="shared" si="20"/>
        <v>L13</v>
      </c>
      <c r="N177" s="4" t="s">
        <v>385</v>
      </c>
      <c r="O177" s="4">
        <v>292</v>
      </c>
      <c r="P177">
        <v>206</v>
      </c>
      <c r="Q177" t="s">
        <v>28</v>
      </c>
      <c r="R177" t="b">
        <f t="shared" si="21"/>
        <v>1</v>
      </c>
      <c r="S177" s="4" t="s">
        <v>412</v>
      </c>
      <c r="T177" s="3">
        <v>1639</v>
      </c>
      <c r="U177" s="4" t="s">
        <v>31</v>
      </c>
      <c r="V177" s="5">
        <v>25.728000000000002</v>
      </c>
      <c r="W177" s="5" t="s">
        <v>31</v>
      </c>
      <c r="X177" s="3" t="s">
        <v>413</v>
      </c>
      <c r="Y177" s="12" t="e">
        <f t="shared" si="22"/>
        <v>#VALUE!</v>
      </c>
      <c r="AA177" t="b">
        <f t="shared" si="23"/>
        <v>1</v>
      </c>
      <c r="AB177" s="18" t="s">
        <v>414</v>
      </c>
      <c r="AC177" s="18" t="s">
        <v>412</v>
      </c>
      <c r="AD177" s="26" t="s">
        <v>374</v>
      </c>
      <c r="AE177" s="26"/>
      <c r="AF177" s="26" t="s">
        <v>374</v>
      </c>
      <c r="AG177" s="26" t="s">
        <v>374</v>
      </c>
      <c r="AH177" s="3"/>
      <c r="AL177" s="3">
        <v>1639</v>
      </c>
      <c r="AM177" s="34" t="s">
        <v>374</v>
      </c>
      <c r="AN177" s="17"/>
      <c r="AO177" s="17"/>
      <c r="AP177" s="34"/>
      <c r="AQ177" s="3"/>
      <c r="AR177" s="3"/>
      <c r="AS177" s="4" t="s">
        <v>31</v>
      </c>
    </row>
    <row r="178" spans="1:45" x14ac:dyDescent="0.25">
      <c r="A178" s="4"/>
      <c r="B178" s="4"/>
      <c r="C178" s="4">
        <v>325</v>
      </c>
      <c r="D178" s="4" t="s">
        <v>415</v>
      </c>
      <c r="E178" s="5">
        <v>25.946000000000002</v>
      </c>
      <c r="F178" s="5">
        <v>28.013999999999999</v>
      </c>
      <c r="G178" s="13" t="s">
        <v>24</v>
      </c>
      <c r="H178" s="5" t="s">
        <v>24</v>
      </c>
      <c r="I178" s="4" t="s">
        <v>25</v>
      </c>
      <c r="J178" s="4"/>
      <c r="K178" s="4" t="s">
        <v>73</v>
      </c>
      <c r="L178" s="4">
        <v>13</v>
      </c>
      <c r="M178" s="4" t="str">
        <f t="shared" si="20"/>
        <v>N13</v>
      </c>
      <c r="N178" s="4" t="s">
        <v>385</v>
      </c>
      <c r="O178" s="4">
        <v>294</v>
      </c>
      <c r="P178">
        <v>207</v>
      </c>
      <c r="Q178" t="s">
        <v>28</v>
      </c>
      <c r="R178" t="b">
        <f t="shared" si="21"/>
        <v>1</v>
      </c>
      <c r="S178" s="4" t="s">
        <v>415</v>
      </c>
      <c r="T178" s="3">
        <v>1640</v>
      </c>
      <c r="U178" s="4" t="s">
        <v>25</v>
      </c>
      <c r="V178" s="5">
        <v>25.946000000000002</v>
      </c>
      <c r="W178" s="5">
        <v>28.013999999999999</v>
      </c>
      <c r="X178" s="3" t="s">
        <v>416</v>
      </c>
      <c r="Y178" s="12">
        <f t="shared" si="22"/>
        <v>-2.0679999999999978</v>
      </c>
      <c r="AA178" t="b">
        <f t="shared" si="23"/>
        <v>1</v>
      </c>
      <c r="AB178" s="18" t="s">
        <v>417</v>
      </c>
      <c r="AC178" s="18" t="s">
        <v>415</v>
      </c>
      <c r="AD178" s="26">
        <v>698.03</v>
      </c>
      <c r="AE178" s="26"/>
      <c r="AF178" s="26">
        <v>105</v>
      </c>
      <c r="AG178" s="26">
        <v>2105</v>
      </c>
      <c r="AH178" s="3"/>
      <c r="AL178" s="3">
        <v>1640</v>
      </c>
      <c r="AM178" s="34">
        <v>698.03</v>
      </c>
      <c r="AN178" s="40">
        <f>(AM178-122)/3</f>
        <v>192.01</v>
      </c>
      <c r="AO178" s="40">
        <f>AN178*1.0425+1.2088</f>
        <v>201.37922499999999</v>
      </c>
      <c r="AP178" s="34"/>
      <c r="AQ178" s="3"/>
      <c r="AR178" s="3"/>
      <c r="AS178" s="4" t="s">
        <v>25</v>
      </c>
    </row>
    <row r="179" spans="1:45" x14ac:dyDescent="0.25">
      <c r="A179" s="4"/>
      <c r="B179" s="4"/>
      <c r="C179" s="4">
        <v>373</v>
      </c>
      <c r="D179" s="4" t="s">
        <v>418</v>
      </c>
      <c r="E179" s="5">
        <v>25.722999999999999</v>
      </c>
      <c r="F179" s="5" t="s">
        <v>31</v>
      </c>
      <c r="G179" s="13" t="s">
        <v>24</v>
      </c>
      <c r="H179" s="5" t="s">
        <v>31</v>
      </c>
      <c r="I179" s="4" t="s">
        <v>31</v>
      </c>
      <c r="J179" s="4"/>
      <c r="K179" s="4" t="s">
        <v>76</v>
      </c>
      <c r="L179" s="4">
        <v>13</v>
      </c>
      <c r="M179" s="4" t="str">
        <f t="shared" si="20"/>
        <v>P13</v>
      </c>
      <c r="N179" s="4" t="s">
        <v>385</v>
      </c>
      <c r="O179" s="4">
        <v>296</v>
      </c>
      <c r="P179">
        <v>208</v>
      </c>
      <c r="Q179" t="s">
        <v>28</v>
      </c>
      <c r="R179" t="b">
        <f t="shared" si="21"/>
        <v>1</v>
      </c>
      <c r="S179" s="4" t="s">
        <v>418</v>
      </c>
      <c r="T179" s="3">
        <v>1641</v>
      </c>
      <c r="U179" s="4" t="s">
        <v>31</v>
      </c>
      <c r="V179" s="5">
        <v>25.722999999999999</v>
      </c>
      <c r="W179" s="5" t="s">
        <v>31</v>
      </c>
      <c r="X179" s="3" t="s">
        <v>419</v>
      </c>
      <c r="Y179" s="12" t="e">
        <f t="shared" si="22"/>
        <v>#VALUE!</v>
      </c>
      <c r="AA179" t="b">
        <f t="shared" si="23"/>
        <v>1</v>
      </c>
      <c r="AB179" s="18" t="s">
        <v>420</v>
      </c>
      <c r="AC179" s="18" t="s">
        <v>418</v>
      </c>
      <c r="AD179" s="26" t="s">
        <v>374</v>
      </c>
      <c r="AE179" s="26"/>
      <c r="AF179" s="26" t="s">
        <v>374</v>
      </c>
      <c r="AG179" s="26" t="s">
        <v>374</v>
      </c>
      <c r="AH179" s="3"/>
      <c r="AL179" s="3">
        <v>1641</v>
      </c>
      <c r="AM179" s="34" t="s">
        <v>374</v>
      </c>
      <c r="AN179" s="17"/>
      <c r="AO179" s="17"/>
      <c r="AP179" s="34"/>
      <c r="AQ179" s="3"/>
      <c r="AR179" s="3"/>
      <c r="AS179" s="4" t="s">
        <v>31</v>
      </c>
    </row>
    <row r="180" spans="1:45" x14ac:dyDescent="0.25">
      <c r="A180" s="4"/>
      <c r="B180" s="4"/>
      <c r="C180" s="4">
        <v>14</v>
      </c>
      <c r="D180" s="4" t="s">
        <v>421</v>
      </c>
      <c r="E180" s="5">
        <v>25.629000000000001</v>
      </c>
      <c r="F180" s="5">
        <v>27.678999999999998</v>
      </c>
      <c r="G180" s="13" t="s">
        <v>24</v>
      </c>
      <c r="H180" s="5" t="s">
        <v>24</v>
      </c>
      <c r="I180" s="4" t="s">
        <v>25</v>
      </c>
      <c r="J180" s="4"/>
      <c r="K180" s="4" t="s">
        <v>26</v>
      </c>
      <c r="L180" s="4">
        <v>14</v>
      </c>
      <c r="M180" s="4" t="str">
        <f t="shared" si="20"/>
        <v>A14</v>
      </c>
      <c r="N180" s="4" t="s">
        <v>371</v>
      </c>
      <c r="O180" s="4">
        <v>201</v>
      </c>
      <c r="P180">
        <v>209</v>
      </c>
      <c r="Q180" t="s">
        <v>28</v>
      </c>
      <c r="R180" t="b">
        <f t="shared" si="21"/>
        <v>1</v>
      </c>
      <c r="S180" s="4" t="s">
        <v>421</v>
      </c>
      <c r="T180" s="3">
        <v>1642</v>
      </c>
      <c r="U180" s="4" t="s">
        <v>25</v>
      </c>
      <c r="V180" s="5">
        <v>25.629000000000001</v>
      </c>
      <c r="W180" s="5">
        <v>27.678999999999998</v>
      </c>
      <c r="X180" s="3" t="s">
        <v>422</v>
      </c>
      <c r="Y180" s="12">
        <f t="shared" si="22"/>
        <v>-2.0499999999999972</v>
      </c>
      <c r="AA180" t="b">
        <f t="shared" si="23"/>
        <v>1</v>
      </c>
      <c r="AB180" s="18" t="s">
        <v>423</v>
      </c>
      <c r="AC180" s="18" t="s">
        <v>421</v>
      </c>
      <c r="AD180" s="26">
        <v>692.57</v>
      </c>
      <c r="AE180" s="26"/>
      <c r="AF180" s="26">
        <v>59</v>
      </c>
      <c r="AG180" s="26">
        <v>1375</v>
      </c>
      <c r="AH180" s="3"/>
      <c r="AL180" s="3">
        <v>1642</v>
      </c>
      <c r="AM180" s="34">
        <v>692.57</v>
      </c>
      <c r="AN180" s="40">
        <f>(AM180-122)/3</f>
        <v>190.19000000000003</v>
      </c>
      <c r="AO180" s="40">
        <f>AN180*1.0425+1.2088</f>
        <v>199.48187500000003</v>
      </c>
      <c r="AP180" s="34"/>
      <c r="AQ180" s="3"/>
      <c r="AR180" s="3"/>
      <c r="AS180" s="4" t="s">
        <v>25</v>
      </c>
    </row>
    <row r="181" spans="1:45" x14ac:dyDescent="0.25">
      <c r="A181" s="4"/>
      <c r="B181" s="4"/>
      <c r="C181" s="4">
        <v>62</v>
      </c>
      <c r="D181" s="4" t="s">
        <v>424</v>
      </c>
      <c r="E181" s="5">
        <v>24.576000000000001</v>
      </c>
      <c r="F181" s="5" t="s">
        <v>31</v>
      </c>
      <c r="G181" s="13" t="s">
        <v>24</v>
      </c>
      <c r="H181" s="5" t="s">
        <v>31</v>
      </c>
      <c r="I181" s="4" t="s">
        <v>31</v>
      </c>
      <c r="J181" s="4"/>
      <c r="K181" s="4" t="s">
        <v>32</v>
      </c>
      <c r="L181" s="4">
        <v>14</v>
      </c>
      <c r="M181" s="4" t="str">
        <f t="shared" si="20"/>
        <v>C14</v>
      </c>
      <c r="N181" s="4" t="s">
        <v>371</v>
      </c>
      <c r="O181" s="4">
        <v>203</v>
      </c>
      <c r="P181">
        <v>210</v>
      </c>
      <c r="Q181" t="s">
        <v>28</v>
      </c>
      <c r="R181" t="b">
        <f t="shared" si="21"/>
        <v>1</v>
      </c>
      <c r="S181" s="4" t="s">
        <v>424</v>
      </c>
      <c r="T181" s="3">
        <v>1643</v>
      </c>
      <c r="U181" s="4" t="s">
        <v>31</v>
      </c>
      <c r="V181" s="5">
        <v>24.576000000000001</v>
      </c>
      <c r="W181" s="5" t="s">
        <v>31</v>
      </c>
      <c r="X181" s="3" t="s">
        <v>425</v>
      </c>
      <c r="Y181" s="12" t="e">
        <f t="shared" si="22"/>
        <v>#VALUE!</v>
      </c>
      <c r="AA181" t="b">
        <f t="shared" si="23"/>
        <v>1</v>
      </c>
      <c r="AB181" s="18" t="s">
        <v>426</v>
      </c>
      <c r="AC181" s="18" t="s">
        <v>424</v>
      </c>
      <c r="AD181" s="26" t="s">
        <v>374</v>
      </c>
      <c r="AE181" s="26"/>
      <c r="AF181" s="26" t="s">
        <v>374</v>
      </c>
      <c r="AG181" s="26" t="s">
        <v>374</v>
      </c>
      <c r="AH181" s="3"/>
      <c r="AL181" s="3">
        <v>1643</v>
      </c>
      <c r="AM181" s="34" t="s">
        <v>374</v>
      </c>
      <c r="AN181" s="17"/>
      <c r="AO181" s="17"/>
      <c r="AP181" s="34"/>
      <c r="AQ181" s="3"/>
      <c r="AR181" s="3"/>
      <c r="AS181" s="4" t="s">
        <v>31</v>
      </c>
    </row>
    <row r="182" spans="1:45" x14ac:dyDescent="0.25">
      <c r="A182" s="4"/>
      <c r="B182" s="4"/>
      <c r="C182" s="4">
        <v>110</v>
      </c>
      <c r="D182" s="4" t="s">
        <v>427</v>
      </c>
      <c r="E182" s="5">
        <v>24.867999999999999</v>
      </c>
      <c r="F182" s="5">
        <v>27.062999999999999</v>
      </c>
      <c r="G182" s="13" t="s">
        <v>24</v>
      </c>
      <c r="H182" s="5" t="s">
        <v>24</v>
      </c>
      <c r="I182" s="4" t="s">
        <v>25</v>
      </c>
      <c r="J182" s="4"/>
      <c r="K182" s="4" t="s">
        <v>35</v>
      </c>
      <c r="L182" s="4">
        <v>14</v>
      </c>
      <c r="M182" s="4" t="str">
        <f t="shared" si="20"/>
        <v>E14</v>
      </c>
      <c r="N182" s="4" t="s">
        <v>371</v>
      </c>
      <c r="O182" s="4">
        <v>205</v>
      </c>
      <c r="P182">
        <v>211</v>
      </c>
      <c r="Q182" t="s">
        <v>28</v>
      </c>
      <c r="R182" t="b">
        <f t="shared" si="21"/>
        <v>1</v>
      </c>
      <c r="S182" s="4" t="s">
        <v>427</v>
      </c>
      <c r="T182" s="3">
        <v>1644</v>
      </c>
      <c r="U182" s="4" t="s">
        <v>25</v>
      </c>
      <c r="V182" s="5">
        <v>24.867999999999999</v>
      </c>
      <c r="W182" s="5">
        <v>27.062999999999999</v>
      </c>
      <c r="X182" s="3" t="s">
        <v>428</v>
      </c>
      <c r="Y182" s="12">
        <f t="shared" si="22"/>
        <v>-2.1950000000000003</v>
      </c>
      <c r="AA182" t="b">
        <f t="shared" si="23"/>
        <v>1</v>
      </c>
      <c r="AB182" s="18" t="s">
        <v>429</v>
      </c>
      <c r="AC182" s="18" t="s">
        <v>427</v>
      </c>
      <c r="AD182" s="26">
        <v>692.68</v>
      </c>
      <c r="AE182" s="26"/>
      <c r="AF182" s="26">
        <v>124</v>
      </c>
      <c r="AG182" s="26">
        <v>2598</v>
      </c>
      <c r="AH182" s="3"/>
      <c r="AL182" s="3">
        <v>1644</v>
      </c>
      <c r="AM182" s="34">
        <v>692.68</v>
      </c>
      <c r="AN182" s="40">
        <f>(AM182-122)/3</f>
        <v>190.22666666666666</v>
      </c>
      <c r="AO182" s="40">
        <f>AN182*1.0425+1.2088</f>
        <v>199.52009999999999</v>
      </c>
      <c r="AP182" s="34"/>
      <c r="AQ182" s="3"/>
      <c r="AR182" s="3"/>
      <c r="AS182" s="4" t="s">
        <v>25</v>
      </c>
    </row>
    <row r="183" spans="1:45" x14ac:dyDescent="0.25">
      <c r="A183" s="4"/>
      <c r="B183" s="4"/>
      <c r="C183" s="4">
        <v>158</v>
      </c>
      <c r="D183" s="4" t="s">
        <v>430</v>
      </c>
      <c r="E183" s="5">
        <v>25.347999999999999</v>
      </c>
      <c r="F183" s="5">
        <v>27.494</v>
      </c>
      <c r="G183" s="13" t="s">
        <v>24</v>
      </c>
      <c r="H183" s="5" t="s">
        <v>24</v>
      </c>
      <c r="I183" s="4" t="s">
        <v>25</v>
      </c>
      <c r="J183" s="4"/>
      <c r="K183" s="4" t="s">
        <v>38</v>
      </c>
      <c r="L183" s="4">
        <v>14</v>
      </c>
      <c r="M183" s="4" t="str">
        <f t="shared" si="20"/>
        <v>G14</v>
      </c>
      <c r="N183" s="4" t="s">
        <v>371</v>
      </c>
      <c r="O183" s="4">
        <v>207</v>
      </c>
      <c r="P183">
        <v>212</v>
      </c>
      <c r="Q183" t="s">
        <v>28</v>
      </c>
      <c r="R183" t="b">
        <f t="shared" si="21"/>
        <v>1</v>
      </c>
      <c r="S183" s="4" t="s">
        <v>430</v>
      </c>
      <c r="T183" s="3">
        <v>1645</v>
      </c>
      <c r="U183" s="4" t="s">
        <v>25</v>
      </c>
      <c r="V183" s="5">
        <v>25.347999999999999</v>
      </c>
      <c r="W183" s="5">
        <v>27.494</v>
      </c>
      <c r="X183" s="3" t="s">
        <v>431</v>
      </c>
      <c r="Y183" s="12">
        <f t="shared" si="22"/>
        <v>-2.1460000000000008</v>
      </c>
      <c r="AA183" t="b">
        <f t="shared" si="23"/>
        <v>1</v>
      </c>
      <c r="AB183" s="18" t="s">
        <v>432</v>
      </c>
      <c r="AC183" s="18" t="s">
        <v>430</v>
      </c>
      <c r="AD183" s="26">
        <v>701.34</v>
      </c>
      <c r="AE183" s="26"/>
      <c r="AF183" s="26">
        <v>116</v>
      </c>
      <c r="AG183" s="26">
        <v>2357</v>
      </c>
      <c r="AH183" s="3"/>
      <c r="AL183" s="3">
        <v>1645</v>
      </c>
      <c r="AM183" s="34">
        <v>701.34</v>
      </c>
      <c r="AN183" s="40">
        <f>(AM183-122)/3</f>
        <v>193.11333333333334</v>
      </c>
      <c r="AO183" s="40">
        <f>AN183*1.0425+1.2088</f>
        <v>202.52945</v>
      </c>
      <c r="AP183" s="34"/>
      <c r="AQ183" s="3"/>
      <c r="AR183" s="3"/>
      <c r="AS183" s="4" t="s">
        <v>25</v>
      </c>
    </row>
    <row r="184" spans="1:45" x14ac:dyDescent="0.25">
      <c r="A184" s="4"/>
      <c r="B184" s="4"/>
      <c r="C184" s="4">
        <v>206</v>
      </c>
      <c r="D184" s="4" t="s">
        <v>433</v>
      </c>
      <c r="E184" s="5">
        <v>27.210999999999999</v>
      </c>
      <c r="F184" s="5">
        <v>29.361999999999998</v>
      </c>
      <c r="G184" s="13" t="s">
        <v>24</v>
      </c>
      <c r="H184" s="5" t="s">
        <v>24</v>
      </c>
      <c r="I184" s="4" t="s">
        <v>25</v>
      </c>
      <c r="J184" s="4"/>
      <c r="K184" s="4" t="s">
        <v>41</v>
      </c>
      <c r="L184" s="4">
        <v>14</v>
      </c>
      <c r="M184" s="4" t="str">
        <f t="shared" si="20"/>
        <v>I14</v>
      </c>
      <c r="N184" s="4" t="s">
        <v>385</v>
      </c>
      <c r="O184" s="4">
        <v>297</v>
      </c>
      <c r="P184">
        <v>213</v>
      </c>
      <c r="Q184" t="s">
        <v>28</v>
      </c>
      <c r="R184" t="b">
        <f t="shared" si="21"/>
        <v>1</v>
      </c>
      <c r="S184" s="4" t="s">
        <v>433</v>
      </c>
      <c r="T184" s="3">
        <v>1646</v>
      </c>
      <c r="U184" s="4" t="s">
        <v>25</v>
      </c>
      <c r="V184" s="5">
        <v>27.210999999999999</v>
      </c>
      <c r="W184" s="5">
        <v>29.361999999999998</v>
      </c>
      <c r="X184" s="3" t="s">
        <v>434</v>
      </c>
      <c r="Y184" s="12">
        <f t="shared" si="22"/>
        <v>-2.1509999999999998</v>
      </c>
      <c r="AA184" t="b">
        <f t="shared" si="23"/>
        <v>1</v>
      </c>
      <c r="AB184" s="18" t="s">
        <v>435</v>
      </c>
      <c r="AC184" s="18" t="s">
        <v>433</v>
      </c>
      <c r="AD184" s="26">
        <v>686.81</v>
      </c>
      <c r="AE184" s="26"/>
      <c r="AF184" s="26">
        <v>84</v>
      </c>
      <c r="AG184" s="26">
        <v>1767</v>
      </c>
      <c r="AH184" s="3"/>
      <c r="AL184" s="3">
        <v>1646</v>
      </c>
      <c r="AM184" s="34">
        <v>686.81</v>
      </c>
      <c r="AN184" s="40">
        <f>(AM184-122)/3</f>
        <v>188.26999999999998</v>
      </c>
      <c r="AO184" s="40">
        <f>AN184*1.0425+1.2088</f>
        <v>197.48027499999998</v>
      </c>
      <c r="AP184" s="34"/>
      <c r="AQ184" s="3"/>
      <c r="AR184" s="3"/>
      <c r="AS184" s="4" t="s">
        <v>25</v>
      </c>
    </row>
    <row r="185" spans="1:45" x14ac:dyDescent="0.25">
      <c r="A185" s="4"/>
      <c r="B185" s="4"/>
      <c r="C185" s="4">
        <v>254</v>
      </c>
      <c r="D185" s="4" t="s">
        <v>436</v>
      </c>
      <c r="E185" s="5">
        <v>25.891999999999999</v>
      </c>
      <c r="F185" s="5" t="s">
        <v>31</v>
      </c>
      <c r="G185" s="13" t="s">
        <v>24</v>
      </c>
      <c r="H185" s="5" t="s">
        <v>31</v>
      </c>
      <c r="I185" s="4" t="s">
        <v>31</v>
      </c>
      <c r="J185" s="4"/>
      <c r="K185" s="4" t="s">
        <v>45</v>
      </c>
      <c r="L185" s="4">
        <v>14</v>
      </c>
      <c r="M185" s="4" t="str">
        <f t="shared" si="20"/>
        <v>K14</v>
      </c>
      <c r="N185" s="4" t="s">
        <v>385</v>
      </c>
      <c r="O185" s="4">
        <v>299</v>
      </c>
      <c r="P185">
        <v>214</v>
      </c>
      <c r="Q185" t="s">
        <v>28</v>
      </c>
      <c r="R185" t="b">
        <f t="shared" si="21"/>
        <v>1</v>
      </c>
      <c r="S185" s="4" t="s">
        <v>436</v>
      </c>
      <c r="T185" s="3">
        <v>1647</v>
      </c>
      <c r="U185" s="4" t="s">
        <v>31</v>
      </c>
      <c r="V185" s="5">
        <v>25.891999999999999</v>
      </c>
      <c r="W185" s="5" t="s">
        <v>31</v>
      </c>
      <c r="X185" s="3" t="s">
        <v>437</v>
      </c>
      <c r="Y185" s="12" t="e">
        <f t="shared" si="22"/>
        <v>#VALUE!</v>
      </c>
      <c r="AA185" t="b">
        <f t="shared" si="23"/>
        <v>1</v>
      </c>
      <c r="AB185" s="18" t="s">
        <v>438</v>
      </c>
      <c r="AC185" s="18" t="s">
        <v>436</v>
      </c>
      <c r="AD185" s="26" t="s">
        <v>374</v>
      </c>
      <c r="AE185" s="26"/>
      <c r="AF185" s="26" t="s">
        <v>374</v>
      </c>
      <c r="AG185" s="26" t="s">
        <v>374</v>
      </c>
      <c r="AH185" s="3"/>
      <c r="AL185" s="3">
        <v>1647</v>
      </c>
      <c r="AM185" s="34" t="s">
        <v>374</v>
      </c>
      <c r="AN185" s="17"/>
      <c r="AO185" s="17"/>
      <c r="AP185" s="34"/>
      <c r="AQ185" s="3"/>
      <c r="AR185" s="3"/>
      <c r="AS185" s="4" t="s">
        <v>31</v>
      </c>
    </row>
    <row r="186" spans="1:45" x14ac:dyDescent="0.25">
      <c r="A186" s="4"/>
      <c r="B186" s="4"/>
      <c r="C186" s="4">
        <v>302</v>
      </c>
      <c r="D186" s="4" t="s">
        <v>439</v>
      </c>
      <c r="E186" s="5">
        <v>23.645</v>
      </c>
      <c r="F186" s="5" t="s">
        <v>31</v>
      </c>
      <c r="G186" s="13" t="s">
        <v>24</v>
      </c>
      <c r="H186" s="5" t="s">
        <v>31</v>
      </c>
      <c r="I186" s="4" t="s">
        <v>31</v>
      </c>
      <c r="J186" s="4"/>
      <c r="K186" s="4" t="s">
        <v>48</v>
      </c>
      <c r="L186" s="4">
        <v>14</v>
      </c>
      <c r="M186" s="4" t="str">
        <f t="shared" si="20"/>
        <v>M14</v>
      </c>
      <c r="N186" s="4" t="s">
        <v>385</v>
      </c>
      <c r="O186" s="4">
        <v>301</v>
      </c>
      <c r="P186">
        <v>215</v>
      </c>
      <c r="Q186" t="s">
        <v>28</v>
      </c>
      <c r="R186" t="b">
        <f t="shared" si="21"/>
        <v>1</v>
      </c>
      <c r="S186" s="4" t="s">
        <v>439</v>
      </c>
      <c r="T186" s="3">
        <v>1648</v>
      </c>
      <c r="U186" s="4" t="s">
        <v>31</v>
      </c>
      <c r="V186" s="5">
        <v>23.645</v>
      </c>
      <c r="W186" s="5" t="s">
        <v>31</v>
      </c>
      <c r="X186" s="3" t="s">
        <v>440</v>
      </c>
      <c r="Y186" s="12" t="e">
        <f t="shared" si="22"/>
        <v>#VALUE!</v>
      </c>
      <c r="AA186" t="b">
        <f t="shared" si="23"/>
        <v>1</v>
      </c>
      <c r="AB186" s="18" t="s">
        <v>441</v>
      </c>
      <c r="AC186" s="18" t="s">
        <v>439</v>
      </c>
      <c r="AD186" s="26" t="s">
        <v>374</v>
      </c>
      <c r="AE186" s="26"/>
      <c r="AF186" s="26" t="s">
        <v>374</v>
      </c>
      <c r="AG186" s="26" t="s">
        <v>374</v>
      </c>
      <c r="AH186" s="3"/>
      <c r="AL186" s="3">
        <v>1648</v>
      </c>
      <c r="AM186" s="34" t="s">
        <v>374</v>
      </c>
      <c r="AN186" s="17"/>
      <c r="AO186" s="17"/>
      <c r="AP186" s="34"/>
      <c r="AQ186" s="3"/>
      <c r="AR186" s="3"/>
      <c r="AS186" s="4" t="s">
        <v>31</v>
      </c>
    </row>
    <row r="187" spans="1:45" x14ac:dyDescent="0.25">
      <c r="A187" s="4"/>
      <c r="B187" s="4"/>
      <c r="C187" s="4">
        <v>350</v>
      </c>
      <c r="D187" s="4" t="s">
        <v>442</v>
      </c>
      <c r="E187" s="5">
        <v>25.489000000000001</v>
      </c>
      <c r="F187" s="5" t="s">
        <v>31</v>
      </c>
      <c r="G187" s="13" t="s">
        <v>24</v>
      </c>
      <c r="H187" s="5" t="s">
        <v>31</v>
      </c>
      <c r="I187" s="4" t="s">
        <v>31</v>
      </c>
      <c r="J187" s="4"/>
      <c r="K187" s="4" t="s">
        <v>51</v>
      </c>
      <c r="L187" s="4">
        <v>14</v>
      </c>
      <c r="M187" s="4" t="str">
        <f t="shared" si="20"/>
        <v>O14</v>
      </c>
      <c r="N187" s="4" t="s">
        <v>385</v>
      </c>
      <c r="O187" s="4">
        <v>303</v>
      </c>
      <c r="P187">
        <v>216</v>
      </c>
      <c r="Q187" t="s">
        <v>28</v>
      </c>
      <c r="R187" t="b">
        <f t="shared" si="21"/>
        <v>1</v>
      </c>
      <c r="S187" s="4" t="s">
        <v>442</v>
      </c>
      <c r="T187" s="3">
        <v>1649</v>
      </c>
      <c r="U187" s="4" t="s">
        <v>31</v>
      </c>
      <c r="V187" s="5">
        <v>25.489000000000001</v>
      </c>
      <c r="W187" s="5" t="s">
        <v>31</v>
      </c>
      <c r="X187" s="3" t="s">
        <v>443</v>
      </c>
      <c r="Y187" s="12" t="e">
        <f t="shared" si="22"/>
        <v>#VALUE!</v>
      </c>
      <c r="AA187" t="b">
        <f t="shared" si="23"/>
        <v>1</v>
      </c>
      <c r="AB187" s="18" t="s">
        <v>444</v>
      </c>
      <c r="AC187" s="18" t="s">
        <v>442</v>
      </c>
      <c r="AD187" s="26" t="s">
        <v>374</v>
      </c>
      <c r="AE187" s="26"/>
      <c r="AF187" s="26" t="s">
        <v>374</v>
      </c>
      <c r="AG187" s="26" t="s">
        <v>374</v>
      </c>
      <c r="AH187" s="3"/>
      <c r="AL187" s="3">
        <v>1649</v>
      </c>
      <c r="AM187" s="34" t="s">
        <v>374</v>
      </c>
      <c r="AN187" s="17"/>
      <c r="AO187" s="17"/>
      <c r="AP187" s="34"/>
      <c r="AQ187" s="3"/>
      <c r="AR187" s="3"/>
      <c r="AS187" s="4" t="s">
        <v>31</v>
      </c>
    </row>
    <row r="188" spans="1:45" x14ac:dyDescent="0.25">
      <c r="A188" s="4"/>
      <c r="B188" s="4"/>
      <c r="C188" s="4">
        <v>38</v>
      </c>
      <c r="D188" s="4" t="s">
        <v>445</v>
      </c>
      <c r="E188" s="5">
        <v>25.902000000000001</v>
      </c>
      <c r="F188" s="5">
        <v>27.978000000000002</v>
      </c>
      <c r="G188" s="13" t="s">
        <v>24</v>
      </c>
      <c r="H188" s="5" t="s">
        <v>24</v>
      </c>
      <c r="I188" s="4" t="s">
        <v>25</v>
      </c>
      <c r="J188" s="4"/>
      <c r="K188" s="4" t="s">
        <v>54</v>
      </c>
      <c r="L188" s="4">
        <v>14</v>
      </c>
      <c r="M188" s="4" t="str">
        <f t="shared" si="20"/>
        <v>B14</v>
      </c>
      <c r="N188" s="4" t="s">
        <v>371</v>
      </c>
      <c r="O188" s="4">
        <v>202</v>
      </c>
      <c r="P188">
        <v>217</v>
      </c>
      <c r="Q188" t="s">
        <v>28</v>
      </c>
      <c r="R188" t="b">
        <f t="shared" si="21"/>
        <v>1</v>
      </c>
      <c r="S188" s="4" t="s">
        <v>445</v>
      </c>
      <c r="T188" s="3">
        <v>1650</v>
      </c>
      <c r="U188" s="4" t="s">
        <v>25</v>
      </c>
      <c r="V188" s="5">
        <v>25.902000000000001</v>
      </c>
      <c r="W188" s="5">
        <v>27.978000000000002</v>
      </c>
      <c r="X188" s="3" t="s">
        <v>446</v>
      </c>
      <c r="Y188" s="12">
        <f t="shared" si="22"/>
        <v>-2.0760000000000005</v>
      </c>
      <c r="AA188" t="b">
        <f t="shared" si="23"/>
        <v>1</v>
      </c>
      <c r="AB188" s="18" t="s">
        <v>447</v>
      </c>
      <c r="AC188" s="18" t="s">
        <v>445</v>
      </c>
      <c r="AD188" s="3">
        <v>709.5</v>
      </c>
      <c r="AE188" s="3"/>
      <c r="AF188" s="3">
        <v>644</v>
      </c>
      <c r="AG188" s="26" t="s">
        <v>374</v>
      </c>
      <c r="AH188" s="3" t="s">
        <v>19</v>
      </c>
      <c r="AL188" s="3">
        <v>1650</v>
      </c>
      <c r="AM188" s="17">
        <v>709.5</v>
      </c>
      <c r="AN188" s="40">
        <f>(AM188-122)/3</f>
        <v>195.83333333333334</v>
      </c>
      <c r="AO188" s="40">
        <f>AN188*1.0425+1.2088</f>
        <v>205.36505</v>
      </c>
      <c r="AP188" s="17"/>
      <c r="AQ188" s="3"/>
      <c r="AR188" s="3"/>
      <c r="AS188" s="4" t="s">
        <v>25</v>
      </c>
    </row>
    <row r="189" spans="1:45" x14ac:dyDescent="0.25">
      <c r="A189" s="4"/>
      <c r="B189" s="4"/>
      <c r="C189" s="4">
        <v>86</v>
      </c>
      <c r="D189" s="4" t="s">
        <v>448</v>
      </c>
      <c r="E189" s="5">
        <v>25.553000000000001</v>
      </c>
      <c r="F189" s="5" t="s">
        <v>31</v>
      </c>
      <c r="G189" s="13" t="s">
        <v>24</v>
      </c>
      <c r="H189" s="5" t="s">
        <v>31</v>
      </c>
      <c r="I189" s="4" t="s">
        <v>31</v>
      </c>
      <c r="J189" s="4"/>
      <c r="K189" s="4" t="s">
        <v>57</v>
      </c>
      <c r="L189" s="4">
        <v>14</v>
      </c>
      <c r="M189" s="4" t="str">
        <f t="shared" si="20"/>
        <v>D14</v>
      </c>
      <c r="N189" s="4" t="s">
        <v>371</v>
      </c>
      <c r="O189" s="4">
        <v>204</v>
      </c>
      <c r="P189">
        <v>218</v>
      </c>
      <c r="Q189" t="s">
        <v>28</v>
      </c>
      <c r="R189" t="b">
        <f t="shared" si="21"/>
        <v>1</v>
      </c>
      <c r="S189" s="4" t="s">
        <v>448</v>
      </c>
      <c r="T189" s="3">
        <v>1651</v>
      </c>
      <c r="U189" s="4" t="s">
        <v>31</v>
      </c>
      <c r="V189" s="5">
        <v>25.553000000000001</v>
      </c>
      <c r="W189" s="5" t="s">
        <v>31</v>
      </c>
      <c r="X189" s="3" t="s">
        <v>449</v>
      </c>
      <c r="Y189" s="12" t="e">
        <f t="shared" si="22"/>
        <v>#VALUE!</v>
      </c>
      <c r="AA189" t="b">
        <f t="shared" si="23"/>
        <v>1</v>
      </c>
      <c r="AB189" s="18" t="s">
        <v>450</v>
      </c>
      <c r="AC189" s="18" t="s">
        <v>448</v>
      </c>
      <c r="AD189" s="26" t="s">
        <v>374</v>
      </c>
      <c r="AE189" s="26"/>
      <c r="AF189" s="26" t="s">
        <v>374</v>
      </c>
      <c r="AG189" s="26" t="s">
        <v>374</v>
      </c>
      <c r="AH189" s="3"/>
      <c r="AL189" s="3">
        <v>1651</v>
      </c>
      <c r="AM189" s="34" t="s">
        <v>374</v>
      </c>
      <c r="AN189" s="17"/>
      <c r="AO189" s="17"/>
      <c r="AP189" s="34"/>
      <c r="AQ189" s="3"/>
      <c r="AR189" s="3"/>
      <c r="AS189" s="4" t="s">
        <v>31</v>
      </c>
    </row>
    <row r="190" spans="1:45" x14ac:dyDescent="0.25">
      <c r="A190" s="4"/>
      <c r="B190" s="4"/>
      <c r="C190" s="4">
        <v>134</v>
      </c>
      <c r="D190" s="4" t="s">
        <v>451</v>
      </c>
      <c r="E190" s="5">
        <v>25.530999999999999</v>
      </c>
      <c r="F190" s="5" t="s">
        <v>31</v>
      </c>
      <c r="G190" s="13" t="s">
        <v>24</v>
      </c>
      <c r="H190" s="5" t="s">
        <v>31</v>
      </c>
      <c r="I190" s="4" t="s">
        <v>31</v>
      </c>
      <c r="J190" s="4"/>
      <c r="K190" s="4" t="s">
        <v>60</v>
      </c>
      <c r="L190" s="4">
        <v>14</v>
      </c>
      <c r="M190" s="4" t="str">
        <f t="shared" si="20"/>
        <v>F14</v>
      </c>
      <c r="N190" s="4" t="s">
        <v>371</v>
      </c>
      <c r="O190" s="4">
        <v>206</v>
      </c>
      <c r="P190">
        <v>219</v>
      </c>
      <c r="Q190" t="s">
        <v>28</v>
      </c>
      <c r="R190" t="b">
        <f t="shared" si="21"/>
        <v>1</v>
      </c>
      <c r="S190" s="4" t="s">
        <v>451</v>
      </c>
      <c r="T190" s="3">
        <v>1652</v>
      </c>
      <c r="U190" s="4" t="s">
        <v>31</v>
      </c>
      <c r="V190" s="5">
        <v>25.530999999999999</v>
      </c>
      <c r="W190" s="5" t="s">
        <v>31</v>
      </c>
      <c r="X190" s="3" t="s">
        <v>452</v>
      </c>
      <c r="Y190" s="12" t="e">
        <f t="shared" si="22"/>
        <v>#VALUE!</v>
      </c>
      <c r="AA190" t="b">
        <f t="shared" si="23"/>
        <v>1</v>
      </c>
      <c r="AB190" s="18" t="s">
        <v>453</v>
      </c>
      <c r="AC190" s="18" t="s">
        <v>451</v>
      </c>
      <c r="AD190" s="26" t="s">
        <v>374</v>
      </c>
      <c r="AE190" s="26"/>
      <c r="AF190" s="26" t="s">
        <v>374</v>
      </c>
      <c r="AG190" s="26" t="s">
        <v>374</v>
      </c>
      <c r="AH190" s="3"/>
      <c r="AL190" s="3">
        <v>1652</v>
      </c>
      <c r="AM190" s="34" t="s">
        <v>374</v>
      </c>
      <c r="AN190" s="17"/>
      <c r="AO190" s="17"/>
      <c r="AP190" s="34"/>
      <c r="AQ190" s="3"/>
      <c r="AR190" s="3"/>
      <c r="AS190" s="4" t="s">
        <v>31</v>
      </c>
    </row>
    <row r="191" spans="1:45" x14ac:dyDescent="0.25">
      <c r="A191" s="4"/>
      <c r="B191" s="4"/>
      <c r="C191" s="4">
        <v>182</v>
      </c>
      <c r="D191" s="4" t="s">
        <v>454</v>
      </c>
      <c r="E191" s="5">
        <v>25.954000000000001</v>
      </c>
      <c r="F191" s="5" t="s">
        <v>31</v>
      </c>
      <c r="G191" s="13" t="s">
        <v>24</v>
      </c>
      <c r="H191" s="5" t="s">
        <v>31</v>
      </c>
      <c r="I191" s="4" t="s">
        <v>31</v>
      </c>
      <c r="J191" s="4"/>
      <c r="K191" s="4" t="s">
        <v>64</v>
      </c>
      <c r="L191" s="4">
        <v>14</v>
      </c>
      <c r="M191" s="4" t="str">
        <f t="shared" si="20"/>
        <v>H14</v>
      </c>
      <c r="N191" s="4" t="s">
        <v>371</v>
      </c>
      <c r="O191" s="4">
        <v>208</v>
      </c>
      <c r="P191">
        <v>220</v>
      </c>
      <c r="Q191" t="s">
        <v>28</v>
      </c>
      <c r="R191" t="b">
        <f t="shared" si="21"/>
        <v>1</v>
      </c>
      <c r="S191" s="4" t="s">
        <v>454</v>
      </c>
      <c r="T191" s="3">
        <v>1653</v>
      </c>
      <c r="U191" s="4" t="s">
        <v>31</v>
      </c>
      <c r="V191" s="5">
        <v>25.954000000000001</v>
      </c>
      <c r="W191" s="5" t="s">
        <v>31</v>
      </c>
      <c r="X191" s="3" t="s">
        <v>455</v>
      </c>
      <c r="Y191" s="12" t="e">
        <f t="shared" si="22"/>
        <v>#VALUE!</v>
      </c>
      <c r="AA191" t="b">
        <f t="shared" si="23"/>
        <v>1</v>
      </c>
      <c r="AB191" s="18" t="s">
        <v>456</v>
      </c>
      <c r="AC191" s="18" t="s">
        <v>454</v>
      </c>
      <c r="AD191" s="26" t="s">
        <v>374</v>
      </c>
      <c r="AE191" s="26"/>
      <c r="AF191" s="26" t="s">
        <v>374</v>
      </c>
      <c r="AG191" s="26" t="s">
        <v>374</v>
      </c>
      <c r="AH191" s="3"/>
      <c r="AL191" s="3">
        <v>1653</v>
      </c>
      <c r="AM191" s="34" t="s">
        <v>374</v>
      </c>
      <c r="AN191" s="17"/>
      <c r="AO191" s="17"/>
      <c r="AP191" s="34"/>
      <c r="AQ191" s="3"/>
      <c r="AR191" s="3"/>
      <c r="AS191" s="4" t="s">
        <v>31</v>
      </c>
    </row>
    <row r="192" spans="1:45" x14ac:dyDescent="0.25">
      <c r="A192" s="4"/>
      <c r="B192" s="4"/>
      <c r="C192" s="4">
        <v>230</v>
      </c>
      <c r="D192" s="4" t="s">
        <v>457</v>
      </c>
      <c r="E192" s="5">
        <v>25.791</v>
      </c>
      <c r="F192" s="5" t="s">
        <v>31</v>
      </c>
      <c r="G192" s="13" t="s">
        <v>24</v>
      </c>
      <c r="H192" s="5" t="s">
        <v>31</v>
      </c>
      <c r="I192" s="4" t="s">
        <v>31</v>
      </c>
      <c r="J192" s="4"/>
      <c r="K192" s="4" t="s">
        <v>67</v>
      </c>
      <c r="L192" s="4">
        <v>14</v>
      </c>
      <c r="M192" s="4" t="str">
        <f t="shared" si="20"/>
        <v>J14</v>
      </c>
      <c r="N192" s="4" t="s">
        <v>385</v>
      </c>
      <c r="O192" s="4">
        <v>298</v>
      </c>
      <c r="P192">
        <v>221</v>
      </c>
      <c r="Q192" t="s">
        <v>28</v>
      </c>
      <c r="R192" t="b">
        <f t="shared" si="21"/>
        <v>1</v>
      </c>
      <c r="S192" s="4" t="s">
        <v>457</v>
      </c>
      <c r="T192" s="3">
        <v>1654</v>
      </c>
      <c r="U192" s="4" t="s">
        <v>31</v>
      </c>
      <c r="V192" s="5">
        <v>25.791</v>
      </c>
      <c r="W192" s="5" t="s">
        <v>31</v>
      </c>
      <c r="X192" s="3" t="s">
        <v>458</v>
      </c>
      <c r="Y192" s="12" t="e">
        <f t="shared" si="22"/>
        <v>#VALUE!</v>
      </c>
      <c r="AA192" t="b">
        <f t="shared" si="23"/>
        <v>1</v>
      </c>
      <c r="AB192" s="18" t="s">
        <v>459</v>
      </c>
      <c r="AC192" s="18" t="s">
        <v>457</v>
      </c>
      <c r="AD192" s="26" t="s">
        <v>374</v>
      </c>
      <c r="AE192" s="26"/>
      <c r="AF192" s="26" t="s">
        <v>374</v>
      </c>
      <c r="AG192" s="26" t="s">
        <v>374</v>
      </c>
      <c r="AH192" s="3"/>
      <c r="AL192" s="3">
        <v>1654</v>
      </c>
      <c r="AM192" s="34" t="s">
        <v>374</v>
      </c>
      <c r="AN192" s="17"/>
      <c r="AO192" s="17"/>
      <c r="AP192" s="34"/>
      <c r="AQ192" s="3"/>
      <c r="AR192" s="3"/>
      <c r="AS192" s="4" t="s">
        <v>31</v>
      </c>
    </row>
    <row r="193" spans="1:45" x14ac:dyDescent="0.25">
      <c r="A193" s="4"/>
      <c r="B193" s="4"/>
      <c r="C193" s="4">
        <v>278</v>
      </c>
      <c r="D193" s="4" t="s">
        <v>460</v>
      </c>
      <c r="E193" s="5">
        <v>25.74</v>
      </c>
      <c r="F193" s="5" t="s">
        <v>31</v>
      </c>
      <c r="G193" s="13" t="s">
        <v>24</v>
      </c>
      <c r="H193" s="5" t="s">
        <v>31</v>
      </c>
      <c r="I193" s="4" t="s">
        <v>31</v>
      </c>
      <c r="J193" s="4"/>
      <c r="K193" s="4" t="s">
        <v>70</v>
      </c>
      <c r="L193" s="4">
        <v>14</v>
      </c>
      <c r="M193" s="4" t="str">
        <f t="shared" si="20"/>
        <v>L14</v>
      </c>
      <c r="N193" s="4" t="s">
        <v>385</v>
      </c>
      <c r="O193" s="4">
        <v>300</v>
      </c>
      <c r="P193">
        <v>222</v>
      </c>
      <c r="Q193" t="s">
        <v>28</v>
      </c>
      <c r="R193" t="b">
        <f t="shared" si="21"/>
        <v>1</v>
      </c>
      <c r="S193" s="4" t="s">
        <v>460</v>
      </c>
      <c r="T193" s="3">
        <v>1655</v>
      </c>
      <c r="U193" s="4" t="s">
        <v>31</v>
      </c>
      <c r="V193" s="5">
        <v>25.74</v>
      </c>
      <c r="W193" s="5" t="s">
        <v>31</v>
      </c>
      <c r="X193" s="3" t="s">
        <v>461</v>
      </c>
      <c r="Y193" s="12" t="e">
        <f t="shared" si="22"/>
        <v>#VALUE!</v>
      </c>
      <c r="AA193" t="b">
        <f t="shared" si="23"/>
        <v>1</v>
      </c>
      <c r="AB193" s="18" t="s">
        <v>462</v>
      </c>
      <c r="AC193" s="18" t="s">
        <v>460</v>
      </c>
      <c r="AD193" s="26" t="s">
        <v>374</v>
      </c>
      <c r="AE193" s="26"/>
      <c r="AF193" s="26" t="s">
        <v>374</v>
      </c>
      <c r="AG193" s="26" t="s">
        <v>374</v>
      </c>
      <c r="AH193" s="3"/>
      <c r="AL193" s="3">
        <v>1655</v>
      </c>
      <c r="AM193" s="34" t="s">
        <v>374</v>
      </c>
      <c r="AN193" s="17"/>
      <c r="AO193" s="17"/>
      <c r="AP193" s="34"/>
      <c r="AQ193" s="3"/>
      <c r="AR193" s="3"/>
      <c r="AS193" s="4" t="s">
        <v>31</v>
      </c>
    </row>
    <row r="194" spans="1:45" x14ac:dyDescent="0.25">
      <c r="A194" s="4"/>
      <c r="B194" s="4"/>
      <c r="C194" s="4">
        <v>326</v>
      </c>
      <c r="D194" s="4" t="s">
        <v>463</v>
      </c>
      <c r="E194" s="5">
        <v>25.39</v>
      </c>
      <c r="F194" s="5" t="s">
        <v>31</v>
      </c>
      <c r="G194" s="13" t="s">
        <v>24</v>
      </c>
      <c r="H194" s="5" t="s">
        <v>31</v>
      </c>
      <c r="I194" s="4" t="s">
        <v>31</v>
      </c>
      <c r="J194" s="4"/>
      <c r="K194" s="4" t="s">
        <v>73</v>
      </c>
      <c r="L194" s="4">
        <v>14</v>
      </c>
      <c r="M194" s="4" t="str">
        <f t="shared" ref="M194:M257" si="26">CONCATENATE(K194,L194)</f>
        <v>N14</v>
      </c>
      <c r="N194" s="4" t="s">
        <v>385</v>
      </c>
      <c r="O194" s="4">
        <v>302</v>
      </c>
      <c r="P194">
        <v>223</v>
      </c>
      <c r="Q194" t="s">
        <v>28</v>
      </c>
      <c r="R194" t="b">
        <f t="shared" ref="R194:R257" si="27">D194=S194</f>
        <v>1</v>
      </c>
      <c r="S194" s="4" t="s">
        <v>463</v>
      </c>
      <c r="T194" s="3">
        <v>1656</v>
      </c>
      <c r="U194" s="4" t="s">
        <v>31</v>
      </c>
      <c r="V194" s="5">
        <v>25.39</v>
      </c>
      <c r="W194" s="5" t="s">
        <v>31</v>
      </c>
      <c r="X194" s="3" t="s">
        <v>464</v>
      </c>
      <c r="Y194" s="12" t="e">
        <f t="shared" ref="Y194:Y257" si="28">V194-W194</f>
        <v>#VALUE!</v>
      </c>
      <c r="AA194" t="b">
        <f t="shared" ref="AA194:AA257" si="29">S194=AC194</f>
        <v>1</v>
      </c>
      <c r="AB194" s="18" t="s">
        <v>465</v>
      </c>
      <c r="AC194" s="18" t="s">
        <v>463</v>
      </c>
      <c r="AD194" s="26" t="s">
        <v>374</v>
      </c>
      <c r="AE194" s="26"/>
      <c r="AF194" s="26" t="s">
        <v>374</v>
      </c>
      <c r="AG194" s="26" t="s">
        <v>374</v>
      </c>
      <c r="AH194" s="3"/>
      <c r="AL194" s="3">
        <v>1656</v>
      </c>
      <c r="AM194" s="34" t="s">
        <v>374</v>
      </c>
      <c r="AN194" s="17"/>
      <c r="AO194" s="17"/>
      <c r="AP194" s="34"/>
      <c r="AQ194" s="3"/>
      <c r="AR194" s="3"/>
      <c r="AS194" s="4" t="s">
        <v>31</v>
      </c>
    </row>
    <row r="195" spans="1:45" x14ac:dyDescent="0.25">
      <c r="A195" s="4"/>
      <c r="B195" s="4"/>
      <c r="C195" s="4">
        <v>374</v>
      </c>
      <c r="D195" s="4" t="s">
        <v>466</v>
      </c>
      <c r="E195" s="5">
        <v>26.879000000000001</v>
      </c>
      <c r="F195" s="5">
        <v>29.06</v>
      </c>
      <c r="G195" s="13" t="s">
        <v>24</v>
      </c>
      <c r="H195" s="5" t="s">
        <v>24</v>
      </c>
      <c r="I195" s="4" t="s">
        <v>25</v>
      </c>
      <c r="J195" s="4"/>
      <c r="K195" s="4" t="s">
        <v>76</v>
      </c>
      <c r="L195" s="4">
        <v>14</v>
      </c>
      <c r="M195" s="4" t="str">
        <f t="shared" si="26"/>
        <v>P14</v>
      </c>
      <c r="N195" s="4" t="s">
        <v>385</v>
      </c>
      <c r="O195" s="4">
        <v>304</v>
      </c>
      <c r="P195">
        <v>224</v>
      </c>
      <c r="Q195" t="s">
        <v>28</v>
      </c>
      <c r="R195" t="b">
        <f t="shared" si="27"/>
        <v>1</v>
      </c>
      <c r="S195" s="4" t="s">
        <v>466</v>
      </c>
      <c r="T195" s="3">
        <v>1657</v>
      </c>
      <c r="U195" s="4" t="s">
        <v>25</v>
      </c>
      <c r="V195" s="5">
        <v>26.879000000000001</v>
      </c>
      <c r="W195" s="5">
        <v>29.06</v>
      </c>
      <c r="X195" s="3" t="s">
        <v>467</v>
      </c>
      <c r="Y195" s="12">
        <f t="shared" si="28"/>
        <v>-2.1809999999999974</v>
      </c>
      <c r="AA195" t="b">
        <f t="shared" si="29"/>
        <v>1</v>
      </c>
      <c r="AB195" s="18" t="s">
        <v>468</v>
      </c>
      <c r="AC195" s="18" t="s">
        <v>466</v>
      </c>
      <c r="AD195" s="26">
        <v>674.98</v>
      </c>
      <c r="AE195" s="26"/>
      <c r="AF195" s="26">
        <v>60</v>
      </c>
      <c r="AG195" s="26">
        <v>1247</v>
      </c>
      <c r="AH195" s="3"/>
      <c r="AL195" s="3">
        <v>1657</v>
      </c>
      <c r="AM195" s="34">
        <v>674.98</v>
      </c>
      <c r="AN195" s="40">
        <f>(AM195-122)/3</f>
        <v>184.32666666666668</v>
      </c>
      <c r="AO195" s="40">
        <f>AN195*1.0425+1.2088</f>
        <v>193.36935</v>
      </c>
      <c r="AP195" s="34"/>
      <c r="AQ195" s="3"/>
      <c r="AR195" s="3"/>
      <c r="AS195" s="4" t="s">
        <v>25</v>
      </c>
    </row>
    <row r="196" spans="1:45" x14ac:dyDescent="0.25">
      <c r="A196" s="4"/>
      <c r="B196" s="4"/>
      <c r="C196" s="4">
        <v>15</v>
      </c>
      <c r="D196" s="4" t="s">
        <v>469</v>
      </c>
      <c r="E196" s="5">
        <v>25.241</v>
      </c>
      <c r="F196" s="5" t="s">
        <v>31</v>
      </c>
      <c r="G196" s="13" t="s">
        <v>24</v>
      </c>
      <c r="H196" s="5" t="s">
        <v>31</v>
      </c>
      <c r="I196" s="4" t="s">
        <v>31</v>
      </c>
      <c r="J196" s="4"/>
      <c r="K196" s="4" t="s">
        <v>26</v>
      </c>
      <c r="L196" s="4">
        <v>15</v>
      </c>
      <c r="M196" s="4" t="str">
        <f t="shared" si="26"/>
        <v>A15</v>
      </c>
      <c r="N196" s="4" t="s">
        <v>371</v>
      </c>
      <c r="O196" s="4">
        <v>209</v>
      </c>
      <c r="P196">
        <v>225</v>
      </c>
      <c r="Q196" t="s">
        <v>28</v>
      </c>
      <c r="R196" t="b">
        <f t="shared" si="27"/>
        <v>1</v>
      </c>
      <c r="S196" s="4" t="s">
        <v>469</v>
      </c>
      <c r="T196" s="3">
        <v>1658</v>
      </c>
      <c r="U196" s="4" t="s">
        <v>31</v>
      </c>
      <c r="V196" s="5">
        <v>25.241</v>
      </c>
      <c r="W196" s="5" t="s">
        <v>31</v>
      </c>
      <c r="X196" s="3" t="s">
        <v>470</v>
      </c>
      <c r="Y196" s="12" t="e">
        <f t="shared" si="28"/>
        <v>#VALUE!</v>
      </c>
      <c r="AA196" t="b">
        <f t="shared" si="29"/>
        <v>1</v>
      </c>
      <c r="AB196" s="18" t="s">
        <v>471</v>
      </c>
      <c r="AC196" s="18" t="s">
        <v>469</v>
      </c>
      <c r="AD196" s="26" t="s">
        <v>374</v>
      </c>
      <c r="AE196" s="26"/>
      <c r="AF196" s="26" t="s">
        <v>374</v>
      </c>
      <c r="AG196" s="26" t="s">
        <v>374</v>
      </c>
      <c r="AH196" s="3"/>
      <c r="AL196" s="3">
        <v>1658</v>
      </c>
      <c r="AM196" s="34" t="s">
        <v>374</v>
      </c>
      <c r="AN196" s="17"/>
      <c r="AO196" s="17"/>
      <c r="AP196" s="34"/>
      <c r="AQ196" s="3"/>
      <c r="AR196" s="3"/>
      <c r="AS196" s="4" t="s">
        <v>31</v>
      </c>
    </row>
    <row r="197" spans="1:45" x14ac:dyDescent="0.25">
      <c r="A197" s="4"/>
      <c r="B197" s="4"/>
      <c r="C197" s="4">
        <v>63</v>
      </c>
      <c r="D197" s="4" t="s">
        <v>472</v>
      </c>
      <c r="E197" s="5">
        <v>26.33</v>
      </c>
      <c r="F197" s="5">
        <v>28.311</v>
      </c>
      <c r="G197" s="13" t="s">
        <v>24</v>
      </c>
      <c r="H197" s="5" t="s">
        <v>24</v>
      </c>
      <c r="I197" s="4" t="s">
        <v>25</v>
      </c>
      <c r="J197" s="4"/>
      <c r="K197" s="4" t="s">
        <v>32</v>
      </c>
      <c r="L197" s="4">
        <v>15</v>
      </c>
      <c r="M197" s="4" t="str">
        <f t="shared" si="26"/>
        <v>C15</v>
      </c>
      <c r="N197" s="4" t="s">
        <v>371</v>
      </c>
      <c r="O197" s="4">
        <v>211</v>
      </c>
      <c r="P197">
        <v>226</v>
      </c>
      <c r="Q197" t="s">
        <v>28</v>
      </c>
      <c r="R197" t="b">
        <f t="shared" si="27"/>
        <v>1</v>
      </c>
      <c r="S197" s="4" t="s">
        <v>472</v>
      </c>
      <c r="T197" s="3">
        <v>1659</v>
      </c>
      <c r="U197" s="4" t="s">
        <v>25</v>
      </c>
      <c r="V197" s="5">
        <v>26.33</v>
      </c>
      <c r="W197" s="5">
        <v>28.311</v>
      </c>
      <c r="X197" s="3" t="s">
        <v>473</v>
      </c>
      <c r="Y197" s="12">
        <f t="shared" si="28"/>
        <v>-1.9810000000000016</v>
      </c>
      <c r="AA197" t="b">
        <f t="shared" si="29"/>
        <v>1</v>
      </c>
      <c r="AB197" s="18" t="s">
        <v>474</v>
      </c>
      <c r="AC197" s="18" t="s">
        <v>472</v>
      </c>
      <c r="AD197" s="26">
        <v>669.39</v>
      </c>
      <c r="AE197" s="26"/>
      <c r="AF197" s="26">
        <v>52</v>
      </c>
      <c r="AG197" s="26">
        <v>1195</v>
      </c>
      <c r="AH197" s="3"/>
      <c r="AL197" s="3">
        <v>1659</v>
      </c>
      <c r="AM197" s="34">
        <v>669.39</v>
      </c>
      <c r="AN197" s="40">
        <f>(AM197-122)/3</f>
        <v>182.46333333333334</v>
      </c>
      <c r="AO197" s="40">
        <f>AN197*1.0425+1.2088</f>
        <v>191.42682500000001</v>
      </c>
      <c r="AP197" s="34"/>
      <c r="AQ197" s="3"/>
      <c r="AR197" s="3"/>
      <c r="AS197" s="4" t="s">
        <v>25</v>
      </c>
    </row>
    <row r="198" spans="1:45" x14ac:dyDescent="0.25">
      <c r="A198" s="4"/>
      <c r="B198" s="4"/>
      <c r="C198" s="4">
        <v>111</v>
      </c>
      <c r="D198" s="4" t="s">
        <v>475</v>
      </c>
      <c r="E198" s="5">
        <v>25.170999999999999</v>
      </c>
      <c r="F198" s="5" t="s">
        <v>31</v>
      </c>
      <c r="G198" s="13" t="s">
        <v>24</v>
      </c>
      <c r="H198" s="5" t="s">
        <v>31</v>
      </c>
      <c r="I198" s="4" t="s">
        <v>31</v>
      </c>
      <c r="J198" s="4"/>
      <c r="K198" s="4" t="s">
        <v>35</v>
      </c>
      <c r="L198" s="4">
        <v>15</v>
      </c>
      <c r="M198" s="4" t="str">
        <f t="shared" si="26"/>
        <v>E15</v>
      </c>
      <c r="N198" s="4" t="s">
        <v>371</v>
      </c>
      <c r="O198" s="4">
        <v>213</v>
      </c>
      <c r="P198">
        <v>227</v>
      </c>
      <c r="Q198" t="s">
        <v>28</v>
      </c>
      <c r="R198" t="b">
        <f t="shared" si="27"/>
        <v>1</v>
      </c>
      <c r="S198" s="4" t="s">
        <v>475</v>
      </c>
      <c r="T198" s="3">
        <v>1660</v>
      </c>
      <c r="U198" s="4" t="s">
        <v>31</v>
      </c>
      <c r="V198" s="5">
        <v>25.170999999999999</v>
      </c>
      <c r="W198" s="5" t="s">
        <v>31</v>
      </c>
      <c r="X198" s="3" t="s">
        <v>476</v>
      </c>
      <c r="Y198" s="12" t="e">
        <f t="shared" si="28"/>
        <v>#VALUE!</v>
      </c>
      <c r="AA198" t="b">
        <f t="shared" si="29"/>
        <v>1</v>
      </c>
      <c r="AB198" s="18" t="s">
        <v>477</v>
      </c>
      <c r="AC198" s="18" t="s">
        <v>475</v>
      </c>
      <c r="AD198" s="26" t="s">
        <v>374</v>
      </c>
      <c r="AE198" s="26"/>
      <c r="AF198" s="26" t="s">
        <v>374</v>
      </c>
      <c r="AG198" s="26" t="s">
        <v>374</v>
      </c>
      <c r="AH198" s="3"/>
      <c r="AL198" s="3">
        <v>1660</v>
      </c>
      <c r="AM198" s="34" t="s">
        <v>374</v>
      </c>
      <c r="AN198" s="17"/>
      <c r="AO198" s="17"/>
      <c r="AP198" s="34"/>
      <c r="AQ198" s="3"/>
      <c r="AR198" s="3"/>
      <c r="AS198" s="4" t="s">
        <v>31</v>
      </c>
    </row>
    <row r="199" spans="1:45" x14ac:dyDescent="0.25">
      <c r="A199" s="4"/>
      <c r="B199" s="4"/>
      <c r="C199" s="4">
        <v>159</v>
      </c>
      <c r="D199" s="4" t="s">
        <v>478</v>
      </c>
      <c r="E199" s="5">
        <v>24.9</v>
      </c>
      <c r="F199" s="5" t="s">
        <v>31</v>
      </c>
      <c r="G199" s="13" t="s">
        <v>24</v>
      </c>
      <c r="H199" s="5" t="s">
        <v>31</v>
      </c>
      <c r="I199" s="4" t="s">
        <v>31</v>
      </c>
      <c r="J199" s="4"/>
      <c r="K199" s="4" t="s">
        <v>38</v>
      </c>
      <c r="L199" s="4">
        <v>15</v>
      </c>
      <c r="M199" s="4" t="str">
        <f t="shared" si="26"/>
        <v>G15</v>
      </c>
      <c r="N199" s="4" t="s">
        <v>371</v>
      </c>
      <c r="O199" s="4">
        <v>215</v>
      </c>
      <c r="P199">
        <v>228</v>
      </c>
      <c r="Q199" t="s">
        <v>28</v>
      </c>
      <c r="R199" t="b">
        <f t="shared" si="27"/>
        <v>1</v>
      </c>
      <c r="S199" s="4" t="s">
        <v>478</v>
      </c>
      <c r="T199" s="3">
        <v>1661</v>
      </c>
      <c r="U199" s="4" t="s">
        <v>31</v>
      </c>
      <c r="V199" s="5">
        <v>24.9</v>
      </c>
      <c r="W199" s="5" t="s">
        <v>31</v>
      </c>
      <c r="X199" s="3" t="s">
        <v>479</v>
      </c>
      <c r="Y199" s="12" t="e">
        <f t="shared" si="28"/>
        <v>#VALUE!</v>
      </c>
      <c r="AA199" t="b">
        <f t="shared" si="29"/>
        <v>1</v>
      </c>
      <c r="AB199" s="18" t="s">
        <v>480</v>
      </c>
      <c r="AC199" s="18" t="s">
        <v>478</v>
      </c>
      <c r="AD199" s="26" t="s">
        <v>374</v>
      </c>
      <c r="AE199" s="26"/>
      <c r="AF199" s="26" t="s">
        <v>374</v>
      </c>
      <c r="AG199" s="26" t="s">
        <v>374</v>
      </c>
      <c r="AH199" s="3"/>
      <c r="AL199" s="3">
        <v>1661</v>
      </c>
      <c r="AM199" s="34" t="s">
        <v>374</v>
      </c>
      <c r="AN199" s="17"/>
      <c r="AO199" s="17"/>
      <c r="AP199" s="34"/>
      <c r="AQ199" s="3"/>
      <c r="AR199" s="3"/>
      <c r="AS199" s="4" t="s">
        <v>31</v>
      </c>
    </row>
    <row r="200" spans="1:45" x14ac:dyDescent="0.25">
      <c r="A200" s="4"/>
      <c r="B200" s="4"/>
      <c r="C200" s="4">
        <v>207</v>
      </c>
      <c r="D200" s="4" t="s">
        <v>481</v>
      </c>
      <c r="E200" s="5">
        <v>25.303999999999998</v>
      </c>
      <c r="F200" s="5" t="s">
        <v>31</v>
      </c>
      <c r="G200" s="13" t="s">
        <v>24</v>
      </c>
      <c r="H200" s="5" t="s">
        <v>31</v>
      </c>
      <c r="I200" s="4" t="s">
        <v>31</v>
      </c>
      <c r="J200" s="4"/>
      <c r="K200" s="4" t="s">
        <v>41</v>
      </c>
      <c r="L200" s="4">
        <v>15</v>
      </c>
      <c r="M200" s="4" t="str">
        <f t="shared" si="26"/>
        <v>I15</v>
      </c>
      <c r="N200" s="4" t="s">
        <v>385</v>
      </c>
      <c r="O200" s="4">
        <v>305</v>
      </c>
      <c r="P200">
        <v>229</v>
      </c>
      <c r="Q200" t="s">
        <v>28</v>
      </c>
      <c r="R200" t="b">
        <f t="shared" si="27"/>
        <v>1</v>
      </c>
      <c r="S200" s="4" t="s">
        <v>481</v>
      </c>
      <c r="T200" s="3">
        <v>1662</v>
      </c>
      <c r="U200" s="4" t="s">
        <v>31</v>
      </c>
      <c r="V200" s="5">
        <v>25.303999999999998</v>
      </c>
      <c r="W200" s="5" t="s">
        <v>31</v>
      </c>
      <c r="X200" s="3" t="s">
        <v>482</v>
      </c>
      <c r="Y200" s="12" t="e">
        <f t="shared" si="28"/>
        <v>#VALUE!</v>
      </c>
      <c r="AA200" t="b">
        <f t="shared" si="29"/>
        <v>1</v>
      </c>
      <c r="AB200" s="18" t="s">
        <v>483</v>
      </c>
      <c r="AC200" s="18" t="s">
        <v>481</v>
      </c>
      <c r="AD200" s="26" t="s">
        <v>374</v>
      </c>
      <c r="AE200" s="26"/>
      <c r="AF200" s="26" t="s">
        <v>374</v>
      </c>
      <c r="AG200" s="26" t="s">
        <v>374</v>
      </c>
      <c r="AH200" s="3"/>
      <c r="AL200" s="3">
        <v>1662</v>
      </c>
      <c r="AM200" s="34" t="s">
        <v>374</v>
      </c>
      <c r="AN200" s="17"/>
      <c r="AO200" s="17"/>
      <c r="AP200" s="34"/>
      <c r="AQ200" s="3"/>
      <c r="AR200" s="3"/>
      <c r="AS200" s="4" t="s">
        <v>31</v>
      </c>
    </row>
    <row r="201" spans="1:45" x14ac:dyDescent="0.25">
      <c r="A201" s="4"/>
      <c r="B201" s="4"/>
      <c r="C201" s="4">
        <v>255</v>
      </c>
      <c r="D201" s="4" t="s">
        <v>484</v>
      </c>
      <c r="E201" s="5">
        <v>27.530999999999999</v>
      </c>
      <c r="F201" s="5">
        <v>29.815999999999999</v>
      </c>
      <c r="G201" s="13" t="s">
        <v>24</v>
      </c>
      <c r="H201" s="5" t="s">
        <v>24</v>
      </c>
      <c r="I201" s="4" t="s">
        <v>25</v>
      </c>
      <c r="J201" s="4"/>
      <c r="K201" s="4" t="s">
        <v>45</v>
      </c>
      <c r="L201" s="4">
        <v>15</v>
      </c>
      <c r="M201" s="4" t="str">
        <f t="shared" si="26"/>
        <v>K15</v>
      </c>
      <c r="N201" s="4" t="s">
        <v>385</v>
      </c>
      <c r="O201" s="4">
        <v>307</v>
      </c>
      <c r="P201">
        <v>230</v>
      </c>
      <c r="Q201" t="s">
        <v>28</v>
      </c>
      <c r="R201" t="b">
        <f t="shared" si="27"/>
        <v>1</v>
      </c>
      <c r="S201" s="4" t="s">
        <v>484</v>
      </c>
      <c r="T201" s="3">
        <v>1663</v>
      </c>
      <c r="U201" s="4" t="s">
        <v>25</v>
      </c>
      <c r="V201" s="5">
        <v>27.530999999999999</v>
      </c>
      <c r="W201" s="5">
        <v>29.815999999999999</v>
      </c>
      <c r="X201" s="3" t="s">
        <v>485</v>
      </c>
      <c r="Y201" s="12">
        <f t="shared" si="28"/>
        <v>-2.2850000000000001</v>
      </c>
      <c r="AA201" t="b">
        <f t="shared" si="29"/>
        <v>1</v>
      </c>
      <c r="AB201" s="18" t="s">
        <v>486</v>
      </c>
      <c r="AC201" s="18" t="s">
        <v>484</v>
      </c>
      <c r="AD201" s="31">
        <v>181.34</v>
      </c>
      <c r="AE201" s="3"/>
      <c r="AF201" s="3"/>
      <c r="AG201" s="26" t="s">
        <v>374</v>
      </c>
      <c r="AH201" s="3" t="s">
        <v>19</v>
      </c>
      <c r="AL201" s="3">
        <v>1663</v>
      </c>
      <c r="AM201" s="36">
        <v>181.34</v>
      </c>
      <c r="AN201" s="40">
        <f>(AM201-122)/3</f>
        <v>19.78</v>
      </c>
      <c r="AO201" s="40">
        <f>AN201*1.0425+1.2088</f>
        <v>21.829450000000001</v>
      </c>
      <c r="AP201" s="17"/>
      <c r="AQ201" s="3"/>
      <c r="AR201" s="3"/>
      <c r="AS201" s="4" t="s">
        <v>25</v>
      </c>
    </row>
    <row r="202" spans="1:45" x14ac:dyDescent="0.25">
      <c r="A202" s="4"/>
      <c r="B202" s="4"/>
      <c r="C202" s="4">
        <v>303</v>
      </c>
      <c r="D202" s="4" t="s">
        <v>487</v>
      </c>
      <c r="E202" s="5">
        <v>25.146000000000001</v>
      </c>
      <c r="F202" s="5" t="s">
        <v>31</v>
      </c>
      <c r="G202" s="13" t="s">
        <v>24</v>
      </c>
      <c r="H202" s="5" t="s">
        <v>31</v>
      </c>
      <c r="I202" s="4" t="s">
        <v>31</v>
      </c>
      <c r="J202" s="4"/>
      <c r="K202" s="4" t="s">
        <v>48</v>
      </c>
      <c r="L202" s="4">
        <v>15</v>
      </c>
      <c r="M202" s="4" t="str">
        <f t="shared" si="26"/>
        <v>M15</v>
      </c>
      <c r="N202" s="4" t="s">
        <v>385</v>
      </c>
      <c r="O202" s="4">
        <v>309</v>
      </c>
      <c r="P202">
        <v>231</v>
      </c>
      <c r="Q202" t="s">
        <v>28</v>
      </c>
      <c r="R202" t="b">
        <f t="shared" si="27"/>
        <v>1</v>
      </c>
      <c r="S202" s="4" t="s">
        <v>487</v>
      </c>
      <c r="T202" s="3">
        <v>1664</v>
      </c>
      <c r="U202" s="4" t="s">
        <v>31</v>
      </c>
      <c r="V202" s="5">
        <v>25.146000000000001</v>
      </c>
      <c r="W202" s="5" t="s">
        <v>31</v>
      </c>
      <c r="X202" s="3" t="s">
        <v>488</v>
      </c>
      <c r="Y202" s="12" t="e">
        <f t="shared" si="28"/>
        <v>#VALUE!</v>
      </c>
      <c r="AA202" t="b">
        <f t="shared" si="29"/>
        <v>1</v>
      </c>
      <c r="AB202" s="18" t="s">
        <v>489</v>
      </c>
      <c r="AC202" s="18" t="s">
        <v>487</v>
      </c>
      <c r="AD202" s="26" t="s">
        <v>374</v>
      </c>
      <c r="AE202" s="26"/>
      <c r="AF202" s="26" t="s">
        <v>374</v>
      </c>
      <c r="AG202" s="26" t="s">
        <v>374</v>
      </c>
      <c r="AH202" s="3"/>
      <c r="AL202" s="3">
        <v>1664</v>
      </c>
      <c r="AM202" s="34" t="s">
        <v>374</v>
      </c>
      <c r="AN202" s="17"/>
      <c r="AO202" s="17"/>
      <c r="AP202" s="34"/>
      <c r="AQ202" s="3"/>
      <c r="AR202" s="3"/>
      <c r="AS202" s="4" t="s">
        <v>31</v>
      </c>
    </row>
    <row r="203" spans="1:45" x14ac:dyDescent="0.25">
      <c r="A203" s="4"/>
      <c r="B203" s="4"/>
      <c r="C203" s="4">
        <v>351</v>
      </c>
      <c r="D203" s="4" t="s">
        <v>490</v>
      </c>
      <c r="E203" s="5">
        <v>25.141999999999999</v>
      </c>
      <c r="F203" s="5" t="s">
        <v>31</v>
      </c>
      <c r="G203" s="13" t="s">
        <v>24</v>
      </c>
      <c r="H203" s="5" t="s">
        <v>31</v>
      </c>
      <c r="I203" s="4" t="s">
        <v>31</v>
      </c>
      <c r="J203" s="4"/>
      <c r="K203" s="4" t="s">
        <v>51</v>
      </c>
      <c r="L203" s="4">
        <v>15</v>
      </c>
      <c r="M203" s="4" t="str">
        <f t="shared" si="26"/>
        <v>O15</v>
      </c>
      <c r="N203" s="4" t="s">
        <v>385</v>
      </c>
      <c r="O203" s="4">
        <v>311</v>
      </c>
      <c r="P203">
        <v>232</v>
      </c>
      <c r="Q203" t="s">
        <v>28</v>
      </c>
      <c r="R203" t="b">
        <f t="shared" si="27"/>
        <v>1</v>
      </c>
      <c r="S203" s="4" t="s">
        <v>490</v>
      </c>
      <c r="T203" s="3">
        <v>1665</v>
      </c>
      <c r="U203" s="4" t="s">
        <v>31</v>
      </c>
      <c r="V203" s="5">
        <v>25.141999999999999</v>
      </c>
      <c r="W203" s="5" t="s">
        <v>31</v>
      </c>
      <c r="X203" s="3" t="s">
        <v>491</v>
      </c>
      <c r="Y203" s="12" t="e">
        <f t="shared" si="28"/>
        <v>#VALUE!</v>
      </c>
      <c r="AA203" t="b">
        <f t="shared" si="29"/>
        <v>1</v>
      </c>
      <c r="AB203" s="18" t="s">
        <v>492</v>
      </c>
      <c r="AC203" s="18" t="s">
        <v>490</v>
      </c>
      <c r="AD203" s="26" t="s">
        <v>374</v>
      </c>
      <c r="AE203" s="26"/>
      <c r="AF203" s="26" t="s">
        <v>374</v>
      </c>
      <c r="AG203" s="26" t="s">
        <v>374</v>
      </c>
      <c r="AH203" s="3"/>
      <c r="AL203" s="3">
        <v>1665</v>
      </c>
      <c r="AM203" s="34" t="s">
        <v>374</v>
      </c>
      <c r="AN203" s="17"/>
      <c r="AO203" s="17"/>
      <c r="AP203" s="34"/>
      <c r="AQ203" s="3"/>
      <c r="AR203" s="3"/>
      <c r="AS203" s="4" t="s">
        <v>31</v>
      </c>
    </row>
    <row r="204" spans="1:45" x14ac:dyDescent="0.25">
      <c r="A204" s="4"/>
      <c r="B204" s="4"/>
      <c r="C204" s="4">
        <v>39</v>
      </c>
      <c r="D204" s="4" t="s">
        <v>493</v>
      </c>
      <c r="E204" s="5">
        <v>26.373000000000001</v>
      </c>
      <c r="F204" s="5">
        <v>28.448</v>
      </c>
      <c r="G204" s="13" t="s">
        <v>24</v>
      </c>
      <c r="H204" s="5" t="s">
        <v>24</v>
      </c>
      <c r="I204" s="4" t="s">
        <v>25</v>
      </c>
      <c r="J204" s="4"/>
      <c r="K204" s="4" t="s">
        <v>54</v>
      </c>
      <c r="L204" s="4">
        <v>15</v>
      </c>
      <c r="M204" s="4" t="str">
        <f t="shared" si="26"/>
        <v>B15</v>
      </c>
      <c r="N204" s="4" t="s">
        <v>371</v>
      </c>
      <c r="O204" s="4">
        <v>210</v>
      </c>
      <c r="P204">
        <v>233</v>
      </c>
      <c r="Q204" t="s">
        <v>28</v>
      </c>
      <c r="R204" t="b">
        <f t="shared" si="27"/>
        <v>1</v>
      </c>
      <c r="S204" s="4" t="s">
        <v>493</v>
      </c>
      <c r="T204" s="3">
        <v>1666</v>
      </c>
      <c r="U204" s="4" t="s">
        <v>25</v>
      </c>
      <c r="V204" s="5">
        <v>26.373000000000001</v>
      </c>
      <c r="W204" s="5">
        <v>28.448</v>
      </c>
      <c r="X204" s="3" t="s">
        <v>494</v>
      </c>
      <c r="Y204" s="12">
        <f t="shared" si="28"/>
        <v>-2.0749999999999993</v>
      </c>
      <c r="AA204" t="b">
        <f t="shared" si="29"/>
        <v>1</v>
      </c>
      <c r="AB204" s="18" t="s">
        <v>495</v>
      </c>
      <c r="AC204" s="18" t="s">
        <v>493</v>
      </c>
      <c r="AD204" s="3">
        <v>717.86</v>
      </c>
      <c r="AE204" s="3"/>
      <c r="AF204" s="3">
        <v>376</v>
      </c>
      <c r="AG204" s="26" t="s">
        <v>374</v>
      </c>
      <c r="AH204" s="3" t="s">
        <v>19</v>
      </c>
      <c r="AL204" s="3">
        <v>1666</v>
      </c>
      <c r="AM204" s="17">
        <v>717.86</v>
      </c>
      <c r="AN204" s="40">
        <f>(AM204-122)/3</f>
        <v>198.62</v>
      </c>
      <c r="AO204" s="40">
        <f>AN204*1.0425+1.2088</f>
        <v>208.27015</v>
      </c>
      <c r="AP204" s="17"/>
      <c r="AQ204" s="3"/>
      <c r="AR204" s="3"/>
      <c r="AS204" s="4" t="s">
        <v>25</v>
      </c>
    </row>
    <row r="205" spans="1:45" x14ac:dyDescent="0.25">
      <c r="A205" s="4"/>
      <c r="B205" s="4"/>
      <c r="C205" s="4">
        <v>87</v>
      </c>
      <c r="D205" s="4" t="s">
        <v>496</v>
      </c>
      <c r="E205" s="5">
        <v>25.852</v>
      </c>
      <c r="F205" s="5" t="s">
        <v>31</v>
      </c>
      <c r="G205" s="13" t="s">
        <v>24</v>
      </c>
      <c r="H205" s="5" t="s">
        <v>31</v>
      </c>
      <c r="I205" s="4" t="s">
        <v>31</v>
      </c>
      <c r="J205" s="4"/>
      <c r="K205" s="4" t="s">
        <v>57</v>
      </c>
      <c r="L205" s="4">
        <v>15</v>
      </c>
      <c r="M205" s="4" t="str">
        <f t="shared" si="26"/>
        <v>D15</v>
      </c>
      <c r="N205" s="4" t="s">
        <v>371</v>
      </c>
      <c r="O205" s="4">
        <v>212</v>
      </c>
      <c r="P205">
        <v>234</v>
      </c>
      <c r="Q205" t="s">
        <v>28</v>
      </c>
      <c r="R205" t="b">
        <f t="shared" si="27"/>
        <v>1</v>
      </c>
      <c r="S205" s="4" t="s">
        <v>496</v>
      </c>
      <c r="T205" s="3">
        <v>1667</v>
      </c>
      <c r="U205" s="4" t="s">
        <v>31</v>
      </c>
      <c r="V205" s="5">
        <v>25.852</v>
      </c>
      <c r="W205" s="5" t="s">
        <v>31</v>
      </c>
      <c r="X205" s="3" t="s">
        <v>497</v>
      </c>
      <c r="Y205" s="12" t="e">
        <f t="shared" si="28"/>
        <v>#VALUE!</v>
      </c>
      <c r="AA205" t="b">
        <f t="shared" si="29"/>
        <v>1</v>
      </c>
      <c r="AB205" s="18" t="s">
        <v>498</v>
      </c>
      <c r="AC205" s="18" t="s">
        <v>496</v>
      </c>
      <c r="AD205" s="26" t="s">
        <v>374</v>
      </c>
      <c r="AE205" s="26"/>
      <c r="AF205" s="26" t="s">
        <v>374</v>
      </c>
      <c r="AG205" s="26" t="s">
        <v>374</v>
      </c>
      <c r="AH205" s="3"/>
      <c r="AL205" s="3">
        <v>1667</v>
      </c>
      <c r="AM205" s="34" t="s">
        <v>374</v>
      </c>
      <c r="AN205" s="17"/>
      <c r="AO205" s="17"/>
      <c r="AP205" s="34"/>
      <c r="AQ205" s="3"/>
      <c r="AR205" s="3"/>
      <c r="AS205" s="4" t="s">
        <v>31</v>
      </c>
    </row>
    <row r="206" spans="1:45" x14ac:dyDescent="0.25">
      <c r="A206" s="4"/>
      <c r="B206" s="4"/>
      <c r="C206" s="4">
        <v>135</v>
      </c>
      <c r="D206" s="4" t="s">
        <v>499</v>
      </c>
      <c r="E206" s="5">
        <v>25.407</v>
      </c>
      <c r="F206" s="5" t="s">
        <v>31</v>
      </c>
      <c r="G206" s="13" t="s">
        <v>24</v>
      </c>
      <c r="H206" s="5" t="s">
        <v>31</v>
      </c>
      <c r="I206" s="4" t="s">
        <v>31</v>
      </c>
      <c r="J206" s="4"/>
      <c r="K206" s="4" t="s">
        <v>60</v>
      </c>
      <c r="L206" s="4">
        <v>15</v>
      </c>
      <c r="M206" s="4" t="str">
        <f t="shared" si="26"/>
        <v>F15</v>
      </c>
      <c r="N206" s="4" t="s">
        <v>371</v>
      </c>
      <c r="O206" s="4">
        <v>214</v>
      </c>
      <c r="P206">
        <v>235</v>
      </c>
      <c r="Q206" t="s">
        <v>28</v>
      </c>
      <c r="R206" t="b">
        <f t="shared" si="27"/>
        <v>1</v>
      </c>
      <c r="S206" s="4" t="s">
        <v>499</v>
      </c>
      <c r="T206" s="3">
        <v>1668</v>
      </c>
      <c r="U206" s="4" t="s">
        <v>31</v>
      </c>
      <c r="V206" s="5">
        <v>25.407</v>
      </c>
      <c r="W206" s="5" t="s">
        <v>31</v>
      </c>
      <c r="X206" s="3" t="s">
        <v>500</v>
      </c>
      <c r="Y206" s="12" t="e">
        <f t="shared" si="28"/>
        <v>#VALUE!</v>
      </c>
      <c r="Z206" s="17"/>
      <c r="AA206" t="b">
        <f t="shared" si="29"/>
        <v>1</v>
      </c>
      <c r="AB206" s="18" t="s">
        <v>501</v>
      </c>
      <c r="AC206" s="18" t="s">
        <v>499</v>
      </c>
      <c r="AD206" s="26" t="s">
        <v>374</v>
      </c>
      <c r="AE206" s="26"/>
      <c r="AF206" s="26" t="s">
        <v>374</v>
      </c>
      <c r="AG206" s="26" t="s">
        <v>374</v>
      </c>
      <c r="AH206" s="3"/>
      <c r="AL206" s="3">
        <v>1668</v>
      </c>
      <c r="AM206" s="34" t="s">
        <v>374</v>
      </c>
      <c r="AN206" s="17"/>
      <c r="AO206" s="17"/>
      <c r="AP206" s="34"/>
      <c r="AQ206" s="3"/>
      <c r="AR206" s="3"/>
      <c r="AS206" s="4" t="s">
        <v>31</v>
      </c>
    </row>
    <row r="207" spans="1:45" x14ac:dyDescent="0.25">
      <c r="A207" s="4"/>
      <c r="B207" s="4"/>
      <c r="C207" s="4">
        <v>183</v>
      </c>
      <c r="D207" s="4" t="s">
        <v>502</v>
      </c>
      <c r="E207" s="5">
        <v>25.986000000000001</v>
      </c>
      <c r="F207" s="5" t="s">
        <v>31</v>
      </c>
      <c r="G207" s="13" t="s">
        <v>24</v>
      </c>
      <c r="H207" s="5" t="s">
        <v>31</v>
      </c>
      <c r="I207" s="4" t="s">
        <v>31</v>
      </c>
      <c r="J207" s="4"/>
      <c r="K207" s="4" t="s">
        <v>64</v>
      </c>
      <c r="L207" s="4">
        <v>15</v>
      </c>
      <c r="M207" s="4" t="str">
        <f t="shared" si="26"/>
        <v>H15</v>
      </c>
      <c r="N207" s="4" t="s">
        <v>371</v>
      </c>
      <c r="O207" s="4">
        <v>216</v>
      </c>
      <c r="P207">
        <v>236</v>
      </c>
      <c r="Q207" t="s">
        <v>28</v>
      </c>
      <c r="R207" t="b">
        <f t="shared" si="27"/>
        <v>1</v>
      </c>
      <c r="S207" s="4" t="s">
        <v>502</v>
      </c>
      <c r="T207" s="3">
        <v>1669</v>
      </c>
      <c r="U207" s="4" t="s">
        <v>31</v>
      </c>
      <c r="V207" s="5">
        <v>25.986000000000001</v>
      </c>
      <c r="W207" s="5" t="s">
        <v>31</v>
      </c>
      <c r="X207" s="3" t="s">
        <v>503</v>
      </c>
      <c r="Y207" s="12" t="e">
        <f t="shared" si="28"/>
        <v>#VALUE!</v>
      </c>
      <c r="Z207" s="17"/>
      <c r="AA207" t="b">
        <f t="shared" si="29"/>
        <v>1</v>
      </c>
      <c r="AB207" s="18" t="s">
        <v>504</v>
      </c>
      <c r="AC207" s="18" t="s">
        <v>502</v>
      </c>
      <c r="AD207" s="26" t="s">
        <v>374</v>
      </c>
      <c r="AE207" s="26"/>
      <c r="AF207" s="26" t="s">
        <v>374</v>
      </c>
      <c r="AG207" s="26" t="s">
        <v>374</v>
      </c>
      <c r="AH207" s="3"/>
      <c r="AL207" s="3">
        <v>1669</v>
      </c>
      <c r="AM207" s="34" t="s">
        <v>374</v>
      </c>
      <c r="AN207" s="17"/>
      <c r="AO207" s="17"/>
      <c r="AP207" s="34"/>
      <c r="AQ207" s="3"/>
      <c r="AR207" s="3"/>
      <c r="AS207" s="4" t="s">
        <v>31</v>
      </c>
    </row>
    <row r="208" spans="1:45" x14ac:dyDescent="0.25">
      <c r="A208" s="4"/>
      <c r="B208" s="4"/>
      <c r="C208" s="4">
        <v>231</v>
      </c>
      <c r="D208" s="4" t="s">
        <v>505</v>
      </c>
      <c r="E208" s="5">
        <v>26.417999999999999</v>
      </c>
      <c r="F208" s="5">
        <v>28.43</v>
      </c>
      <c r="G208" s="13" t="s">
        <v>24</v>
      </c>
      <c r="H208" s="5" t="s">
        <v>24</v>
      </c>
      <c r="I208" s="4" t="s">
        <v>25</v>
      </c>
      <c r="J208" s="4"/>
      <c r="K208" s="4" t="s">
        <v>67</v>
      </c>
      <c r="L208" s="4">
        <v>15</v>
      </c>
      <c r="M208" s="4" t="str">
        <f t="shared" si="26"/>
        <v>J15</v>
      </c>
      <c r="N208" s="4" t="s">
        <v>385</v>
      </c>
      <c r="O208" s="4">
        <v>306</v>
      </c>
      <c r="P208">
        <v>237</v>
      </c>
      <c r="Q208" t="s">
        <v>28</v>
      </c>
      <c r="R208" t="b">
        <f t="shared" si="27"/>
        <v>1</v>
      </c>
      <c r="S208" s="4" t="s">
        <v>505</v>
      </c>
      <c r="T208" s="3">
        <v>1670</v>
      </c>
      <c r="U208" s="4" t="s">
        <v>25</v>
      </c>
      <c r="V208" s="5">
        <v>26.417999999999999</v>
      </c>
      <c r="W208" s="5">
        <v>28.43</v>
      </c>
      <c r="X208" s="3" t="s">
        <v>506</v>
      </c>
      <c r="Y208" s="12">
        <f t="shared" si="28"/>
        <v>-2.0120000000000005</v>
      </c>
      <c r="AA208" t="b">
        <f t="shared" si="29"/>
        <v>1</v>
      </c>
      <c r="AB208" s="18" t="s">
        <v>507</v>
      </c>
      <c r="AC208" s="18" t="s">
        <v>505</v>
      </c>
      <c r="AD208" s="26">
        <v>701.35</v>
      </c>
      <c r="AE208" s="26"/>
      <c r="AF208" s="26">
        <v>90</v>
      </c>
      <c r="AG208" s="26">
        <v>1903</v>
      </c>
      <c r="AH208" s="3"/>
      <c r="AL208" s="3">
        <v>1670</v>
      </c>
      <c r="AM208" s="34">
        <v>701.35</v>
      </c>
      <c r="AN208" s="40">
        <f>(AM208-122)/3</f>
        <v>193.11666666666667</v>
      </c>
      <c r="AO208" s="40">
        <f>AN208*1.0425+1.2088</f>
        <v>202.53292500000001</v>
      </c>
      <c r="AP208" s="34"/>
      <c r="AQ208" s="3"/>
      <c r="AR208" s="3"/>
      <c r="AS208" s="4" t="s">
        <v>25</v>
      </c>
    </row>
    <row r="209" spans="1:45" x14ac:dyDescent="0.25">
      <c r="A209" s="4"/>
      <c r="B209" s="4"/>
      <c r="C209" s="4">
        <v>279</v>
      </c>
      <c r="D209" s="4" t="s">
        <v>508</v>
      </c>
      <c r="E209" s="5">
        <v>25.984999999999999</v>
      </c>
      <c r="F209" s="5">
        <v>28.161999999999999</v>
      </c>
      <c r="G209" s="13" t="s">
        <v>24</v>
      </c>
      <c r="H209" s="5" t="s">
        <v>24</v>
      </c>
      <c r="I209" s="4" t="s">
        <v>25</v>
      </c>
      <c r="J209" s="4"/>
      <c r="K209" s="4" t="s">
        <v>70</v>
      </c>
      <c r="L209" s="4">
        <v>15</v>
      </c>
      <c r="M209" s="4" t="str">
        <f t="shared" si="26"/>
        <v>L15</v>
      </c>
      <c r="N209" s="4" t="s">
        <v>385</v>
      </c>
      <c r="O209" s="4">
        <v>308</v>
      </c>
      <c r="P209">
        <v>238</v>
      </c>
      <c r="Q209" t="s">
        <v>28</v>
      </c>
      <c r="R209" t="b">
        <f t="shared" si="27"/>
        <v>1</v>
      </c>
      <c r="S209" s="4" t="s">
        <v>508</v>
      </c>
      <c r="T209" s="3">
        <v>1671</v>
      </c>
      <c r="U209" s="4" t="s">
        <v>25</v>
      </c>
      <c r="V209" s="5">
        <v>25.984999999999999</v>
      </c>
      <c r="W209" s="5">
        <v>28.161999999999999</v>
      </c>
      <c r="X209" s="3" t="s">
        <v>509</v>
      </c>
      <c r="Y209" s="12">
        <f t="shared" si="28"/>
        <v>-2.1769999999999996</v>
      </c>
      <c r="AA209" t="b">
        <f t="shared" si="29"/>
        <v>1</v>
      </c>
      <c r="AB209" s="18" t="s">
        <v>510</v>
      </c>
      <c r="AC209" s="18" t="s">
        <v>508</v>
      </c>
      <c r="AD209" s="26">
        <v>683.79</v>
      </c>
      <c r="AE209" s="26"/>
      <c r="AF209" s="26">
        <v>114</v>
      </c>
      <c r="AG209" s="26">
        <v>2330</v>
      </c>
      <c r="AH209" s="3"/>
      <c r="AL209" s="3">
        <v>1671</v>
      </c>
      <c r="AM209" s="34">
        <v>683.79</v>
      </c>
      <c r="AN209" s="40">
        <f>(AM209-122)/3</f>
        <v>187.26333333333332</v>
      </c>
      <c r="AO209" s="40">
        <f>AN209*1.0425+1.2088</f>
        <v>196.43082499999997</v>
      </c>
      <c r="AP209" s="34"/>
      <c r="AQ209" s="3"/>
      <c r="AR209" s="3"/>
      <c r="AS209" s="4" t="s">
        <v>25</v>
      </c>
    </row>
    <row r="210" spans="1:45" x14ac:dyDescent="0.25">
      <c r="A210" s="4"/>
      <c r="B210" s="4"/>
      <c r="C210" s="4">
        <v>327</v>
      </c>
      <c r="D210" s="4" t="s">
        <v>511</v>
      </c>
      <c r="E210" s="5">
        <v>26.477</v>
      </c>
      <c r="F210" s="5">
        <v>28.655999999999999</v>
      </c>
      <c r="G210" s="13" t="s">
        <v>24</v>
      </c>
      <c r="H210" s="5" t="s">
        <v>24</v>
      </c>
      <c r="I210" s="4" t="s">
        <v>25</v>
      </c>
      <c r="J210" s="4"/>
      <c r="K210" s="4" t="s">
        <v>73</v>
      </c>
      <c r="L210" s="4">
        <v>15</v>
      </c>
      <c r="M210" s="4" t="str">
        <f t="shared" si="26"/>
        <v>N15</v>
      </c>
      <c r="N210" s="4" t="s">
        <v>385</v>
      </c>
      <c r="O210" s="4">
        <v>310</v>
      </c>
      <c r="P210">
        <v>239</v>
      </c>
      <c r="Q210" t="s">
        <v>28</v>
      </c>
      <c r="R210" t="b">
        <f t="shared" si="27"/>
        <v>1</v>
      </c>
      <c r="S210" s="4" t="s">
        <v>511</v>
      </c>
      <c r="T210" s="3">
        <v>1672</v>
      </c>
      <c r="U210" s="4" t="s">
        <v>25</v>
      </c>
      <c r="V210" s="5">
        <v>26.477</v>
      </c>
      <c r="W210" s="5">
        <v>28.655999999999999</v>
      </c>
      <c r="X210" s="3" t="s">
        <v>512</v>
      </c>
      <c r="Y210" s="12">
        <f t="shared" si="28"/>
        <v>-2.1789999999999985</v>
      </c>
      <c r="AA210" t="b">
        <f t="shared" si="29"/>
        <v>1</v>
      </c>
      <c r="AB210" s="18" t="s">
        <v>513</v>
      </c>
      <c r="AC210" s="18" t="s">
        <v>511</v>
      </c>
      <c r="AD210" s="26">
        <v>683.82</v>
      </c>
      <c r="AE210" s="26"/>
      <c r="AF210" s="26">
        <v>62</v>
      </c>
      <c r="AG210" s="26">
        <v>1460</v>
      </c>
      <c r="AH210" s="3"/>
      <c r="AL210" s="3">
        <v>1672</v>
      </c>
      <c r="AM210" s="34">
        <v>683.82</v>
      </c>
      <c r="AN210" s="40">
        <f>(AM210-122)/3</f>
        <v>187.27333333333334</v>
      </c>
      <c r="AO210" s="40">
        <f>AN210*1.0425+1.2088</f>
        <v>196.44125</v>
      </c>
      <c r="AP210" s="34"/>
      <c r="AQ210" s="3"/>
      <c r="AR210" s="3"/>
      <c r="AS210" s="4" t="s">
        <v>25</v>
      </c>
    </row>
    <row r="211" spans="1:45" x14ac:dyDescent="0.25">
      <c r="A211" s="4"/>
      <c r="B211" s="4"/>
      <c r="C211" s="4">
        <v>375</v>
      </c>
      <c r="D211" s="4" t="s">
        <v>514</v>
      </c>
      <c r="E211" s="5">
        <v>26.209</v>
      </c>
      <c r="F211" s="5" t="s">
        <v>31</v>
      </c>
      <c r="G211" s="13" t="s">
        <v>24</v>
      </c>
      <c r="H211" s="5" t="s">
        <v>31</v>
      </c>
      <c r="I211" s="4" t="s">
        <v>31</v>
      </c>
      <c r="J211" s="4"/>
      <c r="K211" s="4" t="s">
        <v>76</v>
      </c>
      <c r="L211" s="4">
        <v>15</v>
      </c>
      <c r="M211" s="4" t="str">
        <f t="shared" si="26"/>
        <v>P15</v>
      </c>
      <c r="N211" s="4" t="s">
        <v>385</v>
      </c>
      <c r="O211" s="4">
        <v>312</v>
      </c>
      <c r="P211">
        <v>240</v>
      </c>
      <c r="Q211" t="s">
        <v>28</v>
      </c>
      <c r="R211" t="b">
        <f t="shared" si="27"/>
        <v>1</v>
      </c>
      <c r="S211" s="4" t="s">
        <v>514</v>
      </c>
      <c r="T211" s="3">
        <v>1673</v>
      </c>
      <c r="U211" s="4" t="s">
        <v>31</v>
      </c>
      <c r="V211" s="5">
        <v>26.209</v>
      </c>
      <c r="W211" s="5" t="s">
        <v>31</v>
      </c>
      <c r="X211" s="3" t="s">
        <v>515</v>
      </c>
      <c r="Y211" s="12" t="e">
        <f t="shared" si="28"/>
        <v>#VALUE!</v>
      </c>
      <c r="AA211" t="b">
        <f t="shared" si="29"/>
        <v>1</v>
      </c>
      <c r="AB211" s="18" t="s">
        <v>516</v>
      </c>
      <c r="AC211" s="18" t="s">
        <v>514</v>
      </c>
      <c r="AD211" s="26" t="s">
        <v>374</v>
      </c>
      <c r="AE211" s="26"/>
      <c r="AF211" s="26" t="s">
        <v>374</v>
      </c>
      <c r="AG211" s="26" t="s">
        <v>374</v>
      </c>
      <c r="AH211" s="3"/>
      <c r="AL211" s="3">
        <v>1673</v>
      </c>
      <c r="AM211" s="34" t="s">
        <v>374</v>
      </c>
      <c r="AN211" s="17"/>
      <c r="AO211" s="17"/>
      <c r="AP211" s="34"/>
      <c r="AQ211" s="3"/>
      <c r="AR211" s="3"/>
      <c r="AS211" s="4" t="s">
        <v>31</v>
      </c>
    </row>
    <row r="212" spans="1:45" x14ac:dyDescent="0.25">
      <c r="A212" s="4"/>
      <c r="B212" s="4"/>
      <c r="C212" s="4">
        <v>16</v>
      </c>
      <c r="D212" s="4" t="s">
        <v>517</v>
      </c>
      <c r="E212" s="5">
        <v>27.295999999999999</v>
      </c>
      <c r="F212" s="5">
        <v>29.369</v>
      </c>
      <c r="G212" s="13" t="s">
        <v>24</v>
      </c>
      <c r="H212" s="5" t="s">
        <v>24</v>
      </c>
      <c r="I212" s="4" t="s">
        <v>25</v>
      </c>
      <c r="J212" s="4"/>
      <c r="K212" s="4" t="s">
        <v>26</v>
      </c>
      <c r="L212" s="4">
        <v>16</v>
      </c>
      <c r="M212" s="4" t="str">
        <f t="shared" si="26"/>
        <v>A16</v>
      </c>
      <c r="N212" s="4" t="s">
        <v>371</v>
      </c>
      <c r="O212" s="4">
        <v>217</v>
      </c>
      <c r="P212">
        <v>241</v>
      </c>
      <c r="Q212" t="s">
        <v>28</v>
      </c>
      <c r="R212" t="b">
        <f t="shared" si="27"/>
        <v>1</v>
      </c>
      <c r="S212" s="4" t="s">
        <v>517</v>
      </c>
      <c r="T212" s="3">
        <v>1674</v>
      </c>
      <c r="U212" s="4" t="s">
        <v>25</v>
      </c>
      <c r="V212" s="5">
        <v>27.295999999999999</v>
      </c>
      <c r="W212" s="5">
        <v>29.369</v>
      </c>
      <c r="X212" s="3" t="s">
        <v>518</v>
      </c>
      <c r="Y212" s="12">
        <f t="shared" si="28"/>
        <v>-2.0730000000000004</v>
      </c>
      <c r="AA212" t="b">
        <f t="shared" si="29"/>
        <v>1</v>
      </c>
      <c r="AB212" s="18" t="s">
        <v>519</v>
      </c>
      <c r="AC212" s="18" t="s">
        <v>517</v>
      </c>
      <c r="AD212" s="3">
        <v>689.22</v>
      </c>
      <c r="AE212" s="3"/>
      <c r="AF212" s="3">
        <v>260</v>
      </c>
      <c r="AG212" s="26" t="s">
        <v>374</v>
      </c>
      <c r="AH212" s="3" t="s">
        <v>19</v>
      </c>
      <c r="AL212" s="3">
        <v>1674</v>
      </c>
      <c r="AM212" s="17">
        <v>689.22</v>
      </c>
      <c r="AN212" s="40">
        <f>(AM212-122)/3</f>
        <v>189.07333333333335</v>
      </c>
      <c r="AO212" s="40">
        <f>AN212*1.0425+1.2088</f>
        <v>198.31775000000002</v>
      </c>
      <c r="AP212" s="17"/>
      <c r="AQ212" s="3"/>
      <c r="AR212" s="3"/>
      <c r="AS212" s="4" t="s">
        <v>25</v>
      </c>
    </row>
    <row r="213" spans="1:45" x14ac:dyDescent="0.25">
      <c r="A213" s="4"/>
      <c r="B213" s="4"/>
      <c r="C213" s="4">
        <v>64</v>
      </c>
      <c r="D213" s="4" t="s">
        <v>520</v>
      </c>
      <c r="E213" s="5">
        <v>28.794</v>
      </c>
      <c r="F213" s="5">
        <v>30.823</v>
      </c>
      <c r="G213" s="13" t="s">
        <v>24</v>
      </c>
      <c r="H213" s="5" t="s">
        <v>24</v>
      </c>
      <c r="I213" s="4" t="s">
        <v>25</v>
      </c>
      <c r="J213" s="4"/>
      <c r="K213" s="4" t="s">
        <v>32</v>
      </c>
      <c r="L213" s="4">
        <v>16</v>
      </c>
      <c r="M213" s="4" t="str">
        <f t="shared" si="26"/>
        <v>C16</v>
      </c>
      <c r="N213" s="4" t="s">
        <v>371</v>
      </c>
      <c r="O213" s="4">
        <v>219</v>
      </c>
      <c r="P213">
        <v>242</v>
      </c>
      <c r="Q213" t="s">
        <v>28</v>
      </c>
      <c r="R213" t="b">
        <f t="shared" si="27"/>
        <v>1</v>
      </c>
      <c r="S213" s="4" t="s">
        <v>520</v>
      </c>
      <c r="T213" s="3">
        <v>1675</v>
      </c>
      <c r="U213" s="4" t="s">
        <v>25</v>
      </c>
      <c r="V213" s="5">
        <v>28.794</v>
      </c>
      <c r="W213" s="5">
        <v>30.823</v>
      </c>
      <c r="X213" s="3" t="s">
        <v>521</v>
      </c>
      <c r="Y213" s="12">
        <f t="shared" si="28"/>
        <v>-2.0289999999999999</v>
      </c>
      <c r="AA213" t="b">
        <f t="shared" si="29"/>
        <v>1</v>
      </c>
      <c r="AB213" s="18" t="s">
        <v>522</v>
      </c>
      <c r="AC213" s="18" t="s">
        <v>520</v>
      </c>
      <c r="AD213" s="3">
        <v>711.15</v>
      </c>
      <c r="AE213" s="3"/>
      <c r="AF213" s="3"/>
      <c r="AG213" s="26" t="s">
        <v>374</v>
      </c>
      <c r="AH213" s="3" t="s">
        <v>19</v>
      </c>
      <c r="AL213" s="3">
        <v>1675</v>
      </c>
      <c r="AM213" s="17">
        <v>711.15</v>
      </c>
      <c r="AN213" s="40">
        <f>(AM213-122)/3</f>
        <v>196.38333333333333</v>
      </c>
      <c r="AO213" s="40">
        <f>AN213*1.0425+1.2088</f>
        <v>205.938425</v>
      </c>
      <c r="AP213" s="17"/>
      <c r="AQ213" s="3"/>
      <c r="AR213" s="3"/>
      <c r="AS213" s="4" t="s">
        <v>25</v>
      </c>
    </row>
    <row r="214" spans="1:45" x14ac:dyDescent="0.25">
      <c r="A214" s="4"/>
      <c r="B214" s="4"/>
      <c r="C214" s="4">
        <v>112</v>
      </c>
      <c r="D214" s="4" t="s">
        <v>523</v>
      </c>
      <c r="E214" s="5">
        <v>25.866</v>
      </c>
      <c r="F214" s="5">
        <v>28.067</v>
      </c>
      <c r="G214" s="13" t="s">
        <v>24</v>
      </c>
      <c r="H214" s="5" t="s">
        <v>24</v>
      </c>
      <c r="I214" s="4" t="s">
        <v>25</v>
      </c>
      <c r="J214" s="4"/>
      <c r="K214" s="4" t="s">
        <v>35</v>
      </c>
      <c r="L214" s="4">
        <v>16</v>
      </c>
      <c r="M214" s="4" t="str">
        <f t="shared" si="26"/>
        <v>E16</v>
      </c>
      <c r="N214" s="4" t="s">
        <v>371</v>
      </c>
      <c r="O214" s="4">
        <v>221</v>
      </c>
      <c r="P214">
        <v>243</v>
      </c>
      <c r="Q214" t="s">
        <v>28</v>
      </c>
      <c r="R214" t="b">
        <f t="shared" si="27"/>
        <v>1</v>
      </c>
      <c r="S214" s="4" t="s">
        <v>523</v>
      </c>
      <c r="T214" s="3">
        <v>1676</v>
      </c>
      <c r="U214" s="4" t="s">
        <v>25</v>
      </c>
      <c r="V214" s="5">
        <v>25.866</v>
      </c>
      <c r="W214" s="5">
        <v>28.067</v>
      </c>
      <c r="X214" s="3" t="s">
        <v>524</v>
      </c>
      <c r="Y214" s="12">
        <f t="shared" si="28"/>
        <v>-2.2010000000000005</v>
      </c>
      <c r="AA214" t="b">
        <f t="shared" si="29"/>
        <v>1</v>
      </c>
      <c r="AB214" s="18" t="s">
        <v>525</v>
      </c>
      <c r="AC214" s="18" t="s">
        <v>523</v>
      </c>
      <c r="AD214" s="26">
        <v>683.87</v>
      </c>
      <c r="AE214" s="26"/>
      <c r="AF214" s="26">
        <v>129</v>
      </c>
      <c r="AG214" s="26">
        <v>2690</v>
      </c>
      <c r="AH214" s="3"/>
      <c r="AL214" s="3">
        <v>1676</v>
      </c>
      <c r="AM214" s="34">
        <v>683.87</v>
      </c>
      <c r="AN214" s="40">
        <f>(AM214-122)/3</f>
        <v>187.29</v>
      </c>
      <c r="AO214" s="40">
        <f>AN214*1.0425+1.2088</f>
        <v>196.45862499999998</v>
      </c>
      <c r="AP214" s="34"/>
      <c r="AQ214" s="3"/>
      <c r="AR214" s="3"/>
      <c r="AS214" s="4" t="s">
        <v>25</v>
      </c>
    </row>
    <row r="215" spans="1:45" x14ac:dyDescent="0.25">
      <c r="A215" s="4"/>
      <c r="B215" s="4"/>
      <c r="C215" s="4">
        <v>160</v>
      </c>
      <c r="D215" s="4" t="s">
        <v>526</v>
      </c>
      <c r="E215" s="5">
        <v>24.846</v>
      </c>
      <c r="F215" s="5" t="s">
        <v>31</v>
      </c>
      <c r="G215" s="13" t="s">
        <v>24</v>
      </c>
      <c r="H215" s="5" t="s">
        <v>31</v>
      </c>
      <c r="I215" s="4" t="s">
        <v>31</v>
      </c>
      <c r="J215" s="4"/>
      <c r="K215" s="4" t="s">
        <v>38</v>
      </c>
      <c r="L215" s="4">
        <v>16</v>
      </c>
      <c r="M215" s="4" t="str">
        <f t="shared" si="26"/>
        <v>G16</v>
      </c>
      <c r="N215" s="4" t="s">
        <v>371</v>
      </c>
      <c r="O215" s="4">
        <v>223</v>
      </c>
      <c r="P215">
        <v>244</v>
      </c>
      <c r="Q215" t="s">
        <v>28</v>
      </c>
      <c r="R215" t="b">
        <f t="shared" si="27"/>
        <v>1</v>
      </c>
      <c r="S215" s="4" t="s">
        <v>526</v>
      </c>
      <c r="T215" s="3">
        <v>1677</v>
      </c>
      <c r="U215" s="4" t="s">
        <v>31</v>
      </c>
      <c r="V215" s="5">
        <v>24.846</v>
      </c>
      <c r="W215" s="5" t="s">
        <v>31</v>
      </c>
      <c r="X215" s="3" t="s">
        <v>527</v>
      </c>
      <c r="Y215" s="12" t="e">
        <f t="shared" si="28"/>
        <v>#VALUE!</v>
      </c>
      <c r="AA215" t="b">
        <f t="shared" si="29"/>
        <v>1</v>
      </c>
      <c r="AB215" s="18" t="s">
        <v>528</v>
      </c>
      <c r="AC215" s="18" t="s">
        <v>526</v>
      </c>
      <c r="AD215" s="26" t="s">
        <v>374</v>
      </c>
      <c r="AE215" s="26"/>
      <c r="AF215" s="26" t="s">
        <v>374</v>
      </c>
      <c r="AG215" s="26" t="s">
        <v>374</v>
      </c>
      <c r="AH215" s="3"/>
      <c r="AL215" s="3">
        <v>1677</v>
      </c>
      <c r="AM215" s="34" t="s">
        <v>374</v>
      </c>
      <c r="AN215" s="17"/>
      <c r="AO215" s="17"/>
      <c r="AP215" s="34"/>
      <c r="AQ215" s="3"/>
      <c r="AR215" s="3"/>
      <c r="AS215" s="4" t="s">
        <v>31</v>
      </c>
    </row>
    <row r="216" spans="1:45" x14ac:dyDescent="0.25">
      <c r="A216" s="4"/>
      <c r="B216" s="4"/>
      <c r="C216" s="4">
        <v>208</v>
      </c>
      <c r="D216" s="4" t="s">
        <v>529</v>
      </c>
      <c r="E216" s="5">
        <v>24.78</v>
      </c>
      <c r="F216" s="5" t="s">
        <v>31</v>
      </c>
      <c r="G216" s="13" t="s">
        <v>24</v>
      </c>
      <c r="H216" s="5" t="s">
        <v>31</v>
      </c>
      <c r="I216" s="4" t="s">
        <v>31</v>
      </c>
      <c r="J216" s="4"/>
      <c r="K216" s="4" t="s">
        <v>41</v>
      </c>
      <c r="L216" s="4">
        <v>16</v>
      </c>
      <c r="M216" s="4" t="str">
        <f t="shared" si="26"/>
        <v>I16</v>
      </c>
      <c r="N216" s="4" t="s">
        <v>385</v>
      </c>
      <c r="O216" s="4">
        <v>313</v>
      </c>
      <c r="P216">
        <v>245</v>
      </c>
      <c r="Q216" t="s">
        <v>28</v>
      </c>
      <c r="R216" t="b">
        <f t="shared" si="27"/>
        <v>1</v>
      </c>
      <c r="S216" s="4" t="s">
        <v>529</v>
      </c>
      <c r="T216" s="3">
        <v>1678</v>
      </c>
      <c r="U216" s="4" t="s">
        <v>31</v>
      </c>
      <c r="V216" s="5">
        <v>24.78</v>
      </c>
      <c r="W216" s="5" t="s">
        <v>31</v>
      </c>
      <c r="X216" s="3" t="s">
        <v>530</v>
      </c>
      <c r="Y216" s="12" t="e">
        <f t="shared" si="28"/>
        <v>#VALUE!</v>
      </c>
      <c r="AA216" t="b">
        <f t="shared" si="29"/>
        <v>1</v>
      </c>
      <c r="AB216" s="18" t="s">
        <v>531</v>
      </c>
      <c r="AC216" s="18" t="s">
        <v>529</v>
      </c>
      <c r="AD216" s="26" t="s">
        <v>374</v>
      </c>
      <c r="AE216" s="26"/>
      <c r="AF216" s="26" t="s">
        <v>374</v>
      </c>
      <c r="AG216" s="26" t="s">
        <v>374</v>
      </c>
      <c r="AH216" s="3"/>
      <c r="AL216" s="3">
        <v>1678</v>
      </c>
      <c r="AM216" s="34" t="s">
        <v>374</v>
      </c>
      <c r="AN216" s="17"/>
      <c r="AO216" s="17"/>
      <c r="AP216" s="34"/>
      <c r="AQ216" s="3"/>
      <c r="AR216" s="3"/>
      <c r="AS216" s="4" t="s">
        <v>31</v>
      </c>
    </row>
    <row r="217" spans="1:45" x14ac:dyDescent="0.25">
      <c r="A217" s="4"/>
      <c r="B217" s="4"/>
      <c r="C217" s="4">
        <v>256</v>
      </c>
      <c r="D217" s="4" t="s">
        <v>532</v>
      </c>
      <c r="E217" s="5">
        <v>26.388999999999999</v>
      </c>
      <c r="F217" s="5" t="s">
        <v>31</v>
      </c>
      <c r="G217" s="13" t="s">
        <v>24</v>
      </c>
      <c r="H217" s="5" t="s">
        <v>31</v>
      </c>
      <c r="I217" s="4" t="s">
        <v>31</v>
      </c>
      <c r="J217" s="4"/>
      <c r="K217" s="4" t="s">
        <v>45</v>
      </c>
      <c r="L217" s="4">
        <v>16</v>
      </c>
      <c r="M217" s="4" t="str">
        <f t="shared" si="26"/>
        <v>K16</v>
      </c>
      <c r="N217" s="4" t="s">
        <v>385</v>
      </c>
      <c r="O217" s="4">
        <v>315</v>
      </c>
      <c r="P217">
        <v>246</v>
      </c>
      <c r="Q217" t="s">
        <v>28</v>
      </c>
      <c r="R217" t="b">
        <f t="shared" si="27"/>
        <v>1</v>
      </c>
      <c r="S217" s="4" t="s">
        <v>532</v>
      </c>
      <c r="T217" s="3">
        <v>1679</v>
      </c>
      <c r="U217" s="4" t="s">
        <v>31</v>
      </c>
      <c r="V217" s="5">
        <v>26.388999999999999</v>
      </c>
      <c r="W217" s="5" t="s">
        <v>31</v>
      </c>
      <c r="X217" s="3" t="s">
        <v>533</v>
      </c>
      <c r="Y217" s="12" t="e">
        <f t="shared" si="28"/>
        <v>#VALUE!</v>
      </c>
      <c r="AA217" t="b">
        <f t="shared" si="29"/>
        <v>1</v>
      </c>
      <c r="AB217" s="18" t="s">
        <v>534</v>
      </c>
      <c r="AC217" s="18" t="s">
        <v>532</v>
      </c>
      <c r="AD217" s="26" t="s">
        <v>374</v>
      </c>
      <c r="AE217" s="26"/>
      <c r="AF217" s="26" t="s">
        <v>374</v>
      </c>
      <c r="AG217" s="26" t="s">
        <v>374</v>
      </c>
      <c r="AH217" s="3"/>
      <c r="AL217" s="3">
        <v>1679</v>
      </c>
      <c r="AM217" s="34" t="s">
        <v>374</v>
      </c>
      <c r="AN217" s="17"/>
      <c r="AO217" s="17"/>
      <c r="AP217" s="34"/>
      <c r="AQ217" s="3"/>
      <c r="AR217" s="3"/>
      <c r="AS217" s="4" t="s">
        <v>31</v>
      </c>
    </row>
    <row r="218" spans="1:45" x14ac:dyDescent="0.25">
      <c r="A218" s="4"/>
      <c r="B218" s="4"/>
      <c r="C218" s="4">
        <v>304</v>
      </c>
      <c r="D218" s="4" t="s">
        <v>535</v>
      </c>
      <c r="E218" s="5">
        <v>26.251000000000001</v>
      </c>
      <c r="F218" s="5">
        <v>28.523</v>
      </c>
      <c r="G218" s="13" t="s">
        <v>24</v>
      </c>
      <c r="H218" s="5" t="s">
        <v>24</v>
      </c>
      <c r="I218" s="4" t="s">
        <v>25</v>
      </c>
      <c r="J218" s="4"/>
      <c r="K218" s="4" t="s">
        <v>48</v>
      </c>
      <c r="L218" s="4">
        <v>16</v>
      </c>
      <c r="M218" s="4" t="str">
        <f t="shared" si="26"/>
        <v>M16</v>
      </c>
      <c r="N218" s="4" t="s">
        <v>385</v>
      </c>
      <c r="O218" s="4">
        <v>317</v>
      </c>
      <c r="P218">
        <v>247</v>
      </c>
      <c r="Q218" t="s">
        <v>28</v>
      </c>
      <c r="R218" t="b">
        <f t="shared" si="27"/>
        <v>1</v>
      </c>
      <c r="S218" s="4" t="s">
        <v>535</v>
      </c>
      <c r="T218" s="3">
        <v>1680</v>
      </c>
      <c r="U218" s="4" t="s">
        <v>25</v>
      </c>
      <c r="V218" s="5">
        <v>26.251000000000001</v>
      </c>
      <c r="W218" s="5">
        <v>28.523</v>
      </c>
      <c r="X218" s="3" t="s">
        <v>536</v>
      </c>
      <c r="Y218" s="12">
        <f t="shared" si="28"/>
        <v>-2.2719999999999985</v>
      </c>
      <c r="AA218" t="b">
        <f t="shared" si="29"/>
        <v>1</v>
      </c>
      <c r="AB218" s="18" t="s">
        <v>537</v>
      </c>
      <c r="AC218" s="18" t="s">
        <v>535</v>
      </c>
      <c r="AD218" s="26">
        <v>680.79</v>
      </c>
      <c r="AE218" s="26"/>
      <c r="AF218" s="26">
        <v>92</v>
      </c>
      <c r="AG218" s="26">
        <v>1849</v>
      </c>
      <c r="AH218" s="3"/>
      <c r="AL218" s="3">
        <v>1680</v>
      </c>
      <c r="AM218" s="34">
        <v>680.79</v>
      </c>
      <c r="AN218" s="40">
        <f t="shared" ref="AN218:AN225" si="30">(AM218-122)/3</f>
        <v>186.26333333333332</v>
      </c>
      <c r="AO218" s="40">
        <f t="shared" ref="AO218:AO225" si="31">AN218*1.0425+1.2088</f>
        <v>195.38832499999998</v>
      </c>
      <c r="AP218" s="34"/>
      <c r="AQ218" s="3"/>
      <c r="AR218" s="3"/>
      <c r="AS218" s="4" t="s">
        <v>25</v>
      </c>
    </row>
    <row r="219" spans="1:45" x14ac:dyDescent="0.25">
      <c r="A219" s="4"/>
      <c r="B219" s="4"/>
      <c r="C219" s="4">
        <v>352</v>
      </c>
      <c r="D219" s="4" t="s">
        <v>538</v>
      </c>
      <c r="E219" s="5">
        <v>25.972000000000001</v>
      </c>
      <c r="F219" s="5">
        <v>28.277000000000001</v>
      </c>
      <c r="G219" s="13" t="s">
        <v>24</v>
      </c>
      <c r="H219" s="5" t="s">
        <v>24</v>
      </c>
      <c r="I219" s="4" t="s">
        <v>25</v>
      </c>
      <c r="J219" s="4"/>
      <c r="K219" s="4" t="s">
        <v>51</v>
      </c>
      <c r="L219" s="4">
        <v>16</v>
      </c>
      <c r="M219" s="4" t="str">
        <f t="shared" si="26"/>
        <v>O16</v>
      </c>
      <c r="N219" s="4" t="s">
        <v>385</v>
      </c>
      <c r="O219" s="4">
        <v>319</v>
      </c>
      <c r="P219">
        <v>248</v>
      </c>
      <c r="Q219" t="s">
        <v>28</v>
      </c>
      <c r="R219" t="b">
        <f t="shared" si="27"/>
        <v>1</v>
      </c>
      <c r="S219" s="4" t="s">
        <v>538</v>
      </c>
      <c r="T219" s="3">
        <v>1681</v>
      </c>
      <c r="U219" s="4" t="s">
        <v>25</v>
      </c>
      <c r="V219" s="5">
        <v>25.972000000000001</v>
      </c>
      <c r="W219" s="5">
        <v>28.277000000000001</v>
      </c>
      <c r="X219" s="3" t="s">
        <v>539</v>
      </c>
      <c r="Y219" s="12">
        <f t="shared" si="28"/>
        <v>-2.3049999999999997</v>
      </c>
      <c r="AA219" t="b">
        <f t="shared" si="29"/>
        <v>1</v>
      </c>
      <c r="AB219" s="18" t="s">
        <v>540</v>
      </c>
      <c r="AC219" s="18" t="s">
        <v>538</v>
      </c>
      <c r="AD219" s="26">
        <v>680.36</v>
      </c>
      <c r="AE219" s="26"/>
      <c r="AF219" s="26">
        <v>111</v>
      </c>
      <c r="AG219" s="26">
        <v>2466</v>
      </c>
      <c r="AH219" s="3"/>
      <c r="AL219" s="3">
        <v>1681</v>
      </c>
      <c r="AM219" s="34">
        <v>680.36</v>
      </c>
      <c r="AN219" s="40">
        <f t="shared" si="30"/>
        <v>186.12</v>
      </c>
      <c r="AO219" s="40">
        <f t="shared" si="31"/>
        <v>195.2389</v>
      </c>
      <c r="AP219" s="34"/>
      <c r="AQ219" s="3"/>
      <c r="AR219" s="3"/>
      <c r="AS219" s="4" t="s">
        <v>25</v>
      </c>
    </row>
    <row r="220" spans="1:45" x14ac:dyDescent="0.25">
      <c r="A220" s="4"/>
      <c r="B220" s="4"/>
      <c r="C220" s="4">
        <v>40</v>
      </c>
      <c r="D220" s="4" t="s">
        <v>541</v>
      </c>
      <c r="E220" s="5">
        <v>26.687000000000001</v>
      </c>
      <c r="F220" s="5">
        <v>28.661999999999999</v>
      </c>
      <c r="G220" s="13" t="s">
        <v>24</v>
      </c>
      <c r="H220" s="5" t="s">
        <v>24</v>
      </c>
      <c r="I220" s="4" t="s">
        <v>25</v>
      </c>
      <c r="J220" s="4"/>
      <c r="K220" s="4" t="s">
        <v>54</v>
      </c>
      <c r="L220" s="4">
        <v>16</v>
      </c>
      <c r="M220" s="4" t="str">
        <f t="shared" si="26"/>
        <v>B16</v>
      </c>
      <c r="N220" s="4" t="s">
        <v>371</v>
      </c>
      <c r="O220" s="4">
        <v>218</v>
      </c>
      <c r="P220">
        <v>249</v>
      </c>
      <c r="Q220" t="s">
        <v>28</v>
      </c>
      <c r="R220" t="b">
        <f t="shared" si="27"/>
        <v>1</v>
      </c>
      <c r="S220" s="4" t="s">
        <v>541</v>
      </c>
      <c r="T220" s="3">
        <v>1682</v>
      </c>
      <c r="U220" s="4" t="s">
        <v>25</v>
      </c>
      <c r="V220" s="5">
        <v>26.687000000000001</v>
      </c>
      <c r="W220" s="5">
        <v>28.661999999999999</v>
      </c>
      <c r="X220" s="3" t="s">
        <v>542</v>
      </c>
      <c r="Y220" s="12">
        <f t="shared" si="28"/>
        <v>-1.9749999999999979</v>
      </c>
      <c r="AA220" t="b">
        <f t="shared" si="29"/>
        <v>1</v>
      </c>
      <c r="AB220" s="18" t="s">
        <v>543</v>
      </c>
      <c r="AC220" s="18" t="s">
        <v>541</v>
      </c>
      <c r="AD220" s="3">
        <v>675.09</v>
      </c>
      <c r="AE220" s="3"/>
      <c r="AF220" s="3">
        <v>597</v>
      </c>
      <c r="AG220" s="26" t="s">
        <v>374</v>
      </c>
      <c r="AH220" s="3" t="s">
        <v>19</v>
      </c>
      <c r="AL220" s="3">
        <v>1682</v>
      </c>
      <c r="AM220" s="17">
        <v>675.09</v>
      </c>
      <c r="AN220" s="40">
        <f t="shared" si="30"/>
        <v>184.36333333333334</v>
      </c>
      <c r="AO220" s="40">
        <f t="shared" si="31"/>
        <v>193.40757500000001</v>
      </c>
      <c r="AP220" s="17"/>
      <c r="AQ220" s="3"/>
      <c r="AR220" s="3"/>
      <c r="AS220" s="4" t="s">
        <v>25</v>
      </c>
    </row>
    <row r="221" spans="1:45" x14ac:dyDescent="0.25">
      <c r="A221" s="4"/>
      <c r="B221" s="4"/>
      <c r="C221" s="4">
        <v>88</v>
      </c>
      <c r="D221" s="4" t="s">
        <v>544</v>
      </c>
      <c r="E221" s="5">
        <v>25.324000000000002</v>
      </c>
      <c r="F221" s="5">
        <v>27.545999999999999</v>
      </c>
      <c r="G221" s="13" t="s">
        <v>24</v>
      </c>
      <c r="H221" s="5" t="s">
        <v>24</v>
      </c>
      <c r="I221" s="4" t="s">
        <v>25</v>
      </c>
      <c r="J221" s="4"/>
      <c r="K221" s="4" t="s">
        <v>57</v>
      </c>
      <c r="L221" s="4">
        <v>16</v>
      </c>
      <c r="M221" s="4" t="str">
        <f t="shared" si="26"/>
        <v>D16</v>
      </c>
      <c r="N221" s="4" t="s">
        <v>371</v>
      </c>
      <c r="O221" s="4">
        <v>220</v>
      </c>
      <c r="P221">
        <v>250</v>
      </c>
      <c r="Q221" t="s">
        <v>28</v>
      </c>
      <c r="R221" t="b">
        <f t="shared" si="27"/>
        <v>1</v>
      </c>
      <c r="S221" s="4" t="s">
        <v>544</v>
      </c>
      <c r="T221" s="3">
        <v>1683</v>
      </c>
      <c r="U221" s="4" t="s">
        <v>25</v>
      </c>
      <c r="V221" s="5">
        <v>25.324000000000002</v>
      </c>
      <c r="W221" s="5">
        <v>27.545999999999999</v>
      </c>
      <c r="X221" s="3" t="s">
        <v>545</v>
      </c>
      <c r="Y221" s="12">
        <f t="shared" si="28"/>
        <v>-2.2219999999999978</v>
      </c>
      <c r="AA221" t="b">
        <f t="shared" si="29"/>
        <v>1</v>
      </c>
      <c r="AB221" s="18" t="s">
        <v>546</v>
      </c>
      <c r="AC221" s="18" t="s">
        <v>544</v>
      </c>
      <c r="AD221" s="26">
        <v>675.03</v>
      </c>
      <c r="AE221" s="26"/>
      <c r="AF221" s="26">
        <v>92</v>
      </c>
      <c r="AG221" s="26">
        <v>1817</v>
      </c>
      <c r="AH221" s="3"/>
      <c r="AL221" s="3">
        <v>1683</v>
      </c>
      <c r="AM221" s="34">
        <v>675.03</v>
      </c>
      <c r="AN221" s="40">
        <f t="shared" si="30"/>
        <v>184.34333333333333</v>
      </c>
      <c r="AO221" s="40">
        <f t="shared" si="31"/>
        <v>193.38672499999998</v>
      </c>
      <c r="AP221" s="34"/>
      <c r="AQ221" s="3"/>
      <c r="AR221" s="3"/>
      <c r="AS221" s="4" t="s">
        <v>25</v>
      </c>
    </row>
    <row r="222" spans="1:45" x14ac:dyDescent="0.25">
      <c r="A222" s="4"/>
      <c r="B222" s="4"/>
      <c r="C222" s="4">
        <v>136</v>
      </c>
      <c r="D222" s="4" t="s">
        <v>547</v>
      </c>
      <c r="E222" s="5">
        <v>26.388000000000002</v>
      </c>
      <c r="F222" s="5">
        <v>28.536000000000001</v>
      </c>
      <c r="G222" s="13" t="s">
        <v>24</v>
      </c>
      <c r="H222" s="5" t="s">
        <v>24</v>
      </c>
      <c r="I222" s="4" t="s">
        <v>25</v>
      </c>
      <c r="J222" s="4"/>
      <c r="K222" s="4" t="s">
        <v>60</v>
      </c>
      <c r="L222" s="4">
        <v>16</v>
      </c>
      <c r="M222" s="4" t="str">
        <f t="shared" si="26"/>
        <v>F16</v>
      </c>
      <c r="N222" s="4" t="s">
        <v>371</v>
      </c>
      <c r="O222" s="4">
        <v>222</v>
      </c>
      <c r="P222">
        <v>251</v>
      </c>
      <c r="Q222" t="s">
        <v>28</v>
      </c>
      <c r="R222" t="b">
        <f t="shared" si="27"/>
        <v>1</v>
      </c>
      <c r="S222" s="4" t="s">
        <v>547</v>
      </c>
      <c r="T222" s="3">
        <v>1684</v>
      </c>
      <c r="U222" s="4" t="s">
        <v>25</v>
      </c>
      <c r="V222" s="5">
        <v>26.388000000000002</v>
      </c>
      <c r="W222" s="5">
        <v>28.536000000000001</v>
      </c>
      <c r="X222" s="3" t="s">
        <v>548</v>
      </c>
      <c r="Y222" s="12">
        <f t="shared" si="28"/>
        <v>-2.1479999999999997</v>
      </c>
      <c r="AA222" t="b">
        <f t="shared" si="29"/>
        <v>1</v>
      </c>
      <c r="AB222" s="18" t="s">
        <v>549</v>
      </c>
      <c r="AC222" s="18" t="s">
        <v>547</v>
      </c>
      <c r="AD222" s="26">
        <v>675.06</v>
      </c>
      <c r="AE222" s="26"/>
      <c r="AF222" s="26">
        <v>103</v>
      </c>
      <c r="AG222" s="26">
        <v>1920</v>
      </c>
      <c r="AH222" s="3"/>
      <c r="AL222" s="3">
        <v>1684</v>
      </c>
      <c r="AM222" s="34">
        <v>675.06</v>
      </c>
      <c r="AN222" s="40">
        <f t="shared" si="30"/>
        <v>184.35333333333332</v>
      </c>
      <c r="AO222" s="40">
        <f t="shared" si="31"/>
        <v>193.39714999999998</v>
      </c>
      <c r="AP222" s="34"/>
      <c r="AQ222" s="3"/>
      <c r="AR222" s="3"/>
      <c r="AS222" s="4" t="s">
        <v>25</v>
      </c>
    </row>
    <row r="223" spans="1:45" x14ac:dyDescent="0.25">
      <c r="A223" s="4"/>
      <c r="B223" s="4"/>
      <c r="C223" s="4">
        <v>184</v>
      </c>
      <c r="D223" s="4" t="s">
        <v>550</v>
      </c>
      <c r="E223" s="5">
        <v>26.029</v>
      </c>
      <c r="F223" s="5">
        <v>28.25</v>
      </c>
      <c r="G223" s="13" t="s">
        <v>24</v>
      </c>
      <c r="H223" s="5" t="s">
        <v>24</v>
      </c>
      <c r="I223" s="4" t="s">
        <v>25</v>
      </c>
      <c r="J223" s="4"/>
      <c r="K223" s="4" t="s">
        <v>64</v>
      </c>
      <c r="L223" s="4">
        <v>16</v>
      </c>
      <c r="M223" s="4" t="str">
        <f t="shared" si="26"/>
        <v>H16</v>
      </c>
      <c r="N223" s="4" t="s">
        <v>371</v>
      </c>
      <c r="O223" s="4">
        <v>224</v>
      </c>
      <c r="P223">
        <v>252</v>
      </c>
      <c r="Q223" t="s">
        <v>28</v>
      </c>
      <c r="R223" t="b">
        <f t="shared" si="27"/>
        <v>1</v>
      </c>
      <c r="S223" s="4" t="s">
        <v>550</v>
      </c>
      <c r="T223" s="3">
        <v>1685</v>
      </c>
      <c r="U223" s="4" t="s">
        <v>25</v>
      </c>
      <c r="V223" s="5">
        <v>26.029</v>
      </c>
      <c r="W223" s="5">
        <v>28.25</v>
      </c>
      <c r="X223" s="3" t="s">
        <v>551</v>
      </c>
      <c r="Y223" s="12">
        <f t="shared" si="28"/>
        <v>-2.2210000000000001</v>
      </c>
      <c r="AA223" t="b">
        <f t="shared" si="29"/>
        <v>1</v>
      </c>
      <c r="AB223" s="18" t="s">
        <v>552</v>
      </c>
      <c r="AC223" s="18" t="s">
        <v>550</v>
      </c>
      <c r="AD223" s="26">
        <v>672.26</v>
      </c>
      <c r="AE223" s="26"/>
      <c r="AF223" s="26">
        <v>115</v>
      </c>
      <c r="AG223" s="26">
        <v>2362</v>
      </c>
      <c r="AH223" s="3"/>
      <c r="AL223" s="3">
        <v>1685</v>
      </c>
      <c r="AM223" s="34">
        <v>672.26</v>
      </c>
      <c r="AN223" s="40">
        <f t="shared" si="30"/>
        <v>183.42</v>
      </c>
      <c r="AO223" s="40">
        <f t="shared" si="31"/>
        <v>192.42414999999997</v>
      </c>
      <c r="AP223" s="34"/>
      <c r="AQ223" s="3"/>
      <c r="AR223" s="3"/>
      <c r="AS223" s="4" t="s">
        <v>25</v>
      </c>
    </row>
    <row r="224" spans="1:45" x14ac:dyDescent="0.25">
      <c r="A224" s="4"/>
      <c r="B224" s="4"/>
      <c r="C224" s="4">
        <v>232</v>
      </c>
      <c r="D224" s="4" t="s">
        <v>553</v>
      </c>
      <c r="E224" s="5">
        <v>25.992999999999999</v>
      </c>
      <c r="F224" s="5">
        <v>28.047000000000001</v>
      </c>
      <c r="G224" s="13" t="s">
        <v>24</v>
      </c>
      <c r="H224" s="5" t="s">
        <v>24</v>
      </c>
      <c r="I224" s="4" t="s">
        <v>25</v>
      </c>
      <c r="J224" s="4"/>
      <c r="K224" s="4" t="s">
        <v>67</v>
      </c>
      <c r="L224" s="4">
        <v>16</v>
      </c>
      <c r="M224" s="4" t="str">
        <f t="shared" si="26"/>
        <v>J16</v>
      </c>
      <c r="N224" s="4" t="s">
        <v>385</v>
      </c>
      <c r="O224" s="4">
        <v>314</v>
      </c>
      <c r="P224">
        <v>253</v>
      </c>
      <c r="Q224" t="s">
        <v>28</v>
      </c>
      <c r="R224" t="b">
        <f t="shared" si="27"/>
        <v>1</v>
      </c>
      <c r="S224" s="4" t="s">
        <v>553</v>
      </c>
      <c r="T224" s="3">
        <v>1686</v>
      </c>
      <c r="U224" s="4" t="s">
        <v>25</v>
      </c>
      <c r="V224" s="5">
        <v>25.992999999999999</v>
      </c>
      <c r="W224" s="5">
        <v>28.047000000000001</v>
      </c>
      <c r="X224" s="3" t="s">
        <v>554</v>
      </c>
      <c r="Y224" s="12">
        <f t="shared" si="28"/>
        <v>-2.054000000000002</v>
      </c>
      <c r="AA224" t="b">
        <f t="shared" si="29"/>
        <v>1</v>
      </c>
      <c r="AB224" s="18" t="s">
        <v>555</v>
      </c>
      <c r="AC224" s="18" t="s">
        <v>553</v>
      </c>
      <c r="AD224" s="26">
        <v>675.26</v>
      </c>
      <c r="AE224" s="26"/>
      <c r="AF224" s="26">
        <v>142</v>
      </c>
      <c r="AG224" s="26">
        <v>2953</v>
      </c>
      <c r="AH224" s="3"/>
      <c r="AL224" s="3">
        <v>1686</v>
      </c>
      <c r="AM224" s="34">
        <v>675.26</v>
      </c>
      <c r="AN224" s="40">
        <f t="shared" si="30"/>
        <v>184.42</v>
      </c>
      <c r="AO224" s="40">
        <f t="shared" si="31"/>
        <v>193.46664999999999</v>
      </c>
      <c r="AP224" s="34"/>
      <c r="AQ224" s="3"/>
      <c r="AR224" s="3"/>
      <c r="AS224" s="4" t="s">
        <v>25</v>
      </c>
    </row>
    <row r="225" spans="1:45" x14ac:dyDescent="0.25">
      <c r="A225" s="4"/>
      <c r="B225" s="4"/>
      <c r="C225" s="4">
        <v>280</v>
      </c>
      <c r="D225" s="4" t="s">
        <v>556</v>
      </c>
      <c r="E225" s="5">
        <v>26.731999999999999</v>
      </c>
      <c r="F225" s="5">
        <v>28.884</v>
      </c>
      <c r="G225" s="13" t="s">
        <v>24</v>
      </c>
      <c r="H225" s="5" t="s">
        <v>24</v>
      </c>
      <c r="I225" s="4" t="s">
        <v>25</v>
      </c>
      <c r="J225" s="4"/>
      <c r="K225" s="4" t="s">
        <v>70</v>
      </c>
      <c r="L225" s="4">
        <v>16</v>
      </c>
      <c r="M225" s="4" t="str">
        <f t="shared" si="26"/>
        <v>L16</v>
      </c>
      <c r="N225" s="4" t="s">
        <v>385</v>
      </c>
      <c r="O225" s="4">
        <v>316</v>
      </c>
      <c r="P225">
        <v>254</v>
      </c>
      <c r="Q225" t="s">
        <v>28</v>
      </c>
      <c r="R225" t="b">
        <f t="shared" si="27"/>
        <v>1</v>
      </c>
      <c r="S225" s="4" t="s">
        <v>556</v>
      </c>
      <c r="T225" s="3">
        <v>1687</v>
      </c>
      <c r="U225" s="4" t="s">
        <v>25</v>
      </c>
      <c r="V225" s="5">
        <v>26.731999999999999</v>
      </c>
      <c r="W225" s="5">
        <v>28.884</v>
      </c>
      <c r="X225" s="3" t="s">
        <v>557</v>
      </c>
      <c r="Y225" s="12">
        <f t="shared" si="28"/>
        <v>-2.152000000000001</v>
      </c>
      <c r="AA225" t="b">
        <f t="shared" si="29"/>
        <v>1</v>
      </c>
      <c r="AB225" s="18" t="s">
        <v>558</v>
      </c>
      <c r="AC225" s="18" t="s">
        <v>556</v>
      </c>
      <c r="AD225" s="26">
        <v>692.5</v>
      </c>
      <c r="AE225" s="26"/>
      <c r="AF225" s="26">
        <v>73</v>
      </c>
      <c r="AG225" s="26">
        <v>1419</v>
      </c>
      <c r="AH225" s="3"/>
      <c r="AL225" s="3">
        <v>1687</v>
      </c>
      <c r="AM225" s="34">
        <v>692.5</v>
      </c>
      <c r="AN225" s="40">
        <f t="shared" si="30"/>
        <v>190.16666666666666</v>
      </c>
      <c r="AO225" s="40">
        <f t="shared" si="31"/>
        <v>199.45754999999997</v>
      </c>
      <c r="AP225" s="34"/>
      <c r="AQ225" s="3"/>
      <c r="AR225" s="3"/>
      <c r="AS225" s="4" t="s">
        <v>25</v>
      </c>
    </row>
    <row r="226" spans="1:45" x14ac:dyDescent="0.25">
      <c r="A226" s="4"/>
      <c r="B226" s="4"/>
      <c r="C226" s="4">
        <v>328</v>
      </c>
      <c r="D226" s="4" t="s">
        <v>559</v>
      </c>
      <c r="E226" s="5">
        <v>24.843</v>
      </c>
      <c r="F226" s="5" t="s">
        <v>31</v>
      </c>
      <c r="G226" s="13" t="s">
        <v>24</v>
      </c>
      <c r="H226" s="5" t="s">
        <v>31</v>
      </c>
      <c r="I226" s="4" t="s">
        <v>31</v>
      </c>
      <c r="J226" s="4"/>
      <c r="K226" s="4" t="s">
        <v>73</v>
      </c>
      <c r="L226" s="4">
        <v>16</v>
      </c>
      <c r="M226" s="4" t="str">
        <f t="shared" si="26"/>
        <v>N16</v>
      </c>
      <c r="N226" s="4" t="s">
        <v>385</v>
      </c>
      <c r="O226" s="4">
        <v>318</v>
      </c>
      <c r="P226">
        <v>255</v>
      </c>
      <c r="Q226" t="s">
        <v>28</v>
      </c>
      <c r="R226" t="b">
        <f t="shared" si="27"/>
        <v>1</v>
      </c>
      <c r="S226" s="4" t="s">
        <v>559</v>
      </c>
      <c r="T226" s="3">
        <v>1688</v>
      </c>
      <c r="U226" s="4" t="s">
        <v>31</v>
      </c>
      <c r="V226" s="5">
        <v>24.843</v>
      </c>
      <c r="W226" s="5" t="s">
        <v>31</v>
      </c>
      <c r="X226" s="3" t="s">
        <v>560</v>
      </c>
      <c r="Y226" s="12" t="e">
        <f t="shared" si="28"/>
        <v>#VALUE!</v>
      </c>
      <c r="AA226" t="b">
        <f t="shared" si="29"/>
        <v>1</v>
      </c>
      <c r="AB226" s="18" t="s">
        <v>561</v>
      </c>
      <c r="AC226" s="18" t="s">
        <v>559</v>
      </c>
      <c r="AD226" s="26" t="s">
        <v>374</v>
      </c>
      <c r="AE226" s="26"/>
      <c r="AF226" s="26" t="s">
        <v>374</v>
      </c>
      <c r="AG226" s="26" t="s">
        <v>374</v>
      </c>
      <c r="AH226" s="3"/>
      <c r="AL226" s="3">
        <v>1688</v>
      </c>
      <c r="AM226" s="34" t="s">
        <v>374</v>
      </c>
      <c r="AN226" s="17"/>
      <c r="AO226" s="17"/>
      <c r="AP226" s="34"/>
      <c r="AQ226" s="3"/>
      <c r="AR226" s="3"/>
      <c r="AS226" s="4" t="s">
        <v>31</v>
      </c>
    </row>
    <row r="227" spans="1:45" x14ac:dyDescent="0.25">
      <c r="A227" s="4"/>
      <c r="B227" s="4"/>
      <c r="C227" s="4">
        <v>376</v>
      </c>
      <c r="D227" s="4" t="s">
        <v>562</v>
      </c>
      <c r="E227" s="5">
        <v>26.634</v>
      </c>
      <c r="F227" s="5">
        <v>28.684999999999999</v>
      </c>
      <c r="G227" s="13" t="s">
        <v>24</v>
      </c>
      <c r="H227" s="5" t="s">
        <v>24</v>
      </c>
      <c r="I227" s="4" t="s">
        <v>25</v>
      </c>
      <c r="J227" s="4"/>
      <c r="K227" s="4" t="s">
        <v>76</v>
      </c>
      <c r="L227" s="4">
        <v>16</v>
      </c>
      <c r="M227" s="4" t="str">
        <f t="shared" si="26"/>
        <v>P16</v>
      </c>
      <c r="N227" s="4" t="s">
        <v>385</v>
      </c>
      <c r="O227" s="4">
        <v>320</v>
      </c>
      <c r="P227">
        <v>256</v>
      </c>
      <c r="Q227" t="s">
        <v>28</v>
      </c>
      <c r="R227" t="b">
        <f t="shared" si="27"/>
        <v>1</v>
      </c>
      <c r="S227" s="4" t="s">
        <v>562</v>
      </c>
      <c r="T227" s="3">
        <v>1689</v>
      </c>
      <c r="U227" s="4" t="s">
        <v>25</v>
      </c>
      <c r="V227" s="5">
        <v>26.634</v>
      </c>
      <c r="W227" s="5">
        <v>28.684999999999999</v>
      </c>
      <c r="X227" s="3" t="s">
        <v>563</v>
      </c>
      <c r="Y227" s="12">
        <f t="shared" si="28"/>
        <v>-2.0509999999999984</v>
      </c>
      <c r="AA227" t="b">
        <f t="shared" si="29"/>
        <v>1</v>
      </c>
      <c r="AB227" s="18" t="s">
        <v>564</v>
      </c>
      <c r="AC227" s="18" t="s">
        <v>562</v>
      </c>
      <c r="AD227" s="26">
        <v>677.71</v>
      </c>
      <c r="AE227" s="26"/>
      <c r="AF227" s="26">
        <v>70</v>
      </c>
      <c r="AG227" s="26">
        <v>1537</v>
      </c>
      <c r="AH227" s="3"/>
      <c r="AL227" s="3">
        <v>1689</v>
      </c>
      <c r="AM227" s="34">
        <v>677.71</v>
      </c>
      <c r="AN227" s="40">
        <f>(AM227-122)/3</f>
        <v>185.23666666666668</v>
      </c>
      <c r="AO227" s="40">
        <f>AN227*1.0425+1.2088</f>
        <v>194.31802500000001</v>
      </c>
      <c r="AP227" s="34"/>
      <c r="AQ227" s="3"/>
      <c r="AR227" s="3"/>
      <c r="AS227" s="4" t="s">
        <v>25</v>
      </c>
    </row>
    <row r="228" spans="1:45" x14ac:dyDescent="0.25">
      <c r="A228" s="4"/>
      <c r="B228" s="4"/>
      <c r="C228" s="4">
        <v>17</v>
      </c>
      <c r="D228" s="4" t="s">
        <v>565</v>
      </c>
      <c r="E228" s="5">
        <v>25.597999999999999</v>
      </c>
      <c r="F228" s="5">
        <v>27.628</v>
      </c>
      <c r="G228" s="13" t="s">
        <v>24</v>
      </c>
      <c r="H228" s="5" t="s">
        <v>24</v>
      </c>
      <c r="I228" s="4" t="s">
        <v>25</v>
      </c>
      <c r="J228" s="4"/>
      <c r="K228" s="4" t="s">
        <v>26</v>
      </c>
      <c r="L228" s="4">
        <v>17</v>
      </c>
      <c r="M228" s="4" t="str">
        <f t="shared" si="26"/>
        <v>A17</v>
      </c>
      <c r="N228" s="4" t="s">
        <v>371</v>
      </c>
      <c r="O228" s="4">
        <v>225</v>
      </c>
      <c r="P228">
        <v>257</v>
      </c>
      <c r="Q228" t="s">
        <v>28</v>
      </c>
      <c r="R228" t="b">
        <f t="shared" si="27"/>
        <v>1</v>
      </c>
      <c r="S228" s="4" t="s">
        <v>565</v>
      </c>
      <c r="T228" s="3">
        <v>1690</v>
      </c>
      <c r="U228" s="4" t="s">
        <v>25</v>
      </c>
      <c r="V228" s="5">
        <v>25.597999999999999</v>
      </c>
      <c r="W228" s="5">
        <v>27.628</v>
      </c>
      <c r="X228" s="3" t="s">
        <v>566</v>
      </c>
      <c r="Y228" s="12">
        <f t="shared" si="28"/>
        <v>-2.0300000000000011</v>
      </c>
      <c r="AA228" t="b">
        <f t="shared" si="29"/>
        <v>1</v>
      </c>
      <c r="AB228" s="18" t="s">
        <v>567</v>
      </c>
      <c r="AC228" s="18" t="s">
        <v>565</v>
      </c>
      <c r="AD228" s="26">
        <v>697.97</v>
      </c>
      <c r="AE228" s="26"/>
      <c r="AF228" s="26">
        <v>56</v>
      </c>
      <c r="AG228" s="26">
        <v>1278</v>
      </c>
      <c r="AH228" s="3"/>
      <c r="AL228" s="3">
        <v>1690</v>
      </c>
      <c r="AM228" s="34">
        <v>697.97</v>
      </c>
      <c r="AN228" s="40">
        <f>(AM228-122)/3</f>
        <v>191.99</v>
      </c>
      <c r="AO228" s="40">
        <f>AN228*1.0425+1.2088</f>
        <v>201.358375</v>
      </c>
      <c r="AP228" s="34"/>
      <c r="AQ228" s="3"/>
      <c r="AR228" s="3"/>
      <c r="AS228" s="4" t="s">
        <v>25</v>
      </c>
    </row>
    <row r="229" spans="1:45" x14ac:dyDescent="0.25">
      <c r="A229" s="4"/>
      <c r="B229" s="4"/>
      <c r="C229" s="4">
        <v>65</v>
      </c>
      <c r="D229" s="4" t="s">
        <v>568</v>
      </c>
      <c r="E229" s="5">
        <v>25.369</v>
      </c>
      <c r="F229" s="5" t="s">
        <v>31</v>
      </c>
      <c r="G229" s="13" t="s">
        <v>24</v>
      </c>
      <c r="H229" s="5" t="s">
        <v>31</v>
      </c>
      <c r="I229" s="4" t="s">
        <v>31</v>
      </c>
      <c r="J229" s="4"/>
      <c r="K229" s="4" t="s">
        <v>32</v>
      </c>
      <c r="L229" s="4">
        <v>17</v>
      </c>
      <c r="M229" s="4" t="str">
        <f t="shared" si="26"/>
        <v>C17</v>
      </c>
      <c r="N229" s="4" t="s">
        <v>371</v>
      </c>
      <c r="O229" s="4">
        <v>227</v>
      </c>
      <c r="P229">
        <v>258</v>
      </c>
      <c r="Q229" t="s">
        <v>28</v>
      </c>
      <c r="R229" t="b">
        <f t="shared" si="27"/>
        <v>1</v>
      </c>
      <c r="S229" s="4" t="s">
        <v>568</v>
      </c>
      <c r="T229" s="3">
        <v>1691</v>
      </c>
      <c r="U229" s="4" t="s">
        <v>31</v>
      </c>
      <c r="V229" s="5">
        <v>25.369</v>
      </c>
      <c r="W229" s="5" t="s">
        <v>31</v>
      </c>
      <c r="X229" s="3" t="s">
        <v>569</v>
      </c>
      <c r="Y229" s="12" t="e">
        <f t="shared" si="28"/>
        <v>#VALUE!</v>
      </c>
      <c r="AA229" t="b">
        <f t="shared" si="29"/>
        <v>1</v>
      </c>
      <c r="AB229" s="18" t="s">
        <v>570</v>
      </c>
      <c r="AC229" s="18" t="s">
        <v>568</v>
      </c>
      <c r="AD229" s="26" t="s">
        <v>374</v>
      </c>
      <c r="AE229" s="26"/>
      <c r="AF229" s="26" t="s">
        <v>374</v>
      </c>
      <c r="AG229" s="26" t="s">
        <v>374</v>
      </c>
      <c r="AH229" s="3"/>
      <c r="AL229" s="3">
        <v>1691</v>
      </c>
      <c r="AM229" s="34" t="s">
        <v>374</v>
      </c>
      <c r="AN229" s="17"/>
      <c r="AO229" s="17"/>
      <c r="AP229" s="34"/>
      <c r="AQ229" s="3"/>
      <c r="AR229" s="3"/>
      <c r="AS229" s="4" t="s">
        <v>31</v>
      </c>
    </row>
    <row r="230" spans="1:45" x14ac:dyDescent="0.25">
      <c r="A230" s="4"/>
      <c r="B230" s="4"/>
      <c r="C230" s="4">
        <v>113</v>
      </c>
      <c r="D230" s="4" t="s">
        <v>571</v>
      </c>
      <c r="E230" s="5">
        <v>26.521000000000001</v>
      </c>
      <c r="F230" s="5">
        <v>28.696000000000002</v>
      </c>
      <c r="G230" s="13" t="s">
        <v>24</v>
      </c>
      <c r="H230" s="5" t="s">
        <v>24</v>
      </c>
      <c r="I230" s="4" t="s">
        <v>25</v>
      </c>
      <c r="J230" s="4"/>
      <c r="K230" s="4" t="s">
        <v>35</v>
      </c>
      <c r="L230" s="4">
        <v>17</v>
      </c>
      <c r="M230" s="4" t="str">
        <f t="shared" si="26"/>
        <v>E17</v>
      </c>
      <c r="N230" s="4" t="s">
        <v>371</v>
      </c>
      <c r="O230" s="4">
        <v>229</v>
      </c>
      <c r="P230">
        <v>259</v>
      </c>
      <c r="Q230" t="s">
        <v>28</v>
      </c>
      <c r="R230" t="b">
        <f t="shared" si="27"/>
        <v>1</v>
      </c>
      <c r="S230" s="4" t="s">
        <v>571</v>
      </c>
      <c r="T230" s="3">
        <v>1692</v>
      </c>
      <c r="U230" s="4" t="s">
        <v>25</v>
      </c>
      <c r="V230" s="5">
        <v>26.521000000000001</v>
      </c>
      <c r="W230" s="5">
        <v>28.696000000000002</v>
      </c>
      <c r="X230" s="3" t="s">
        <v>572</v>
      </c>
      <c r="Y230" s="12">
        <f t="shared" si="28"/>
        <v>-2.1750000000000007</v>
      </c>
      <c r="AA230" t="b">
        <f t="shared" si="29"/>
        <v>1</v>
      </c>
      <c r="AB230" s="18" t="s">
        <v>573</v>
      </c>
      <c r="AC230" s="18" t="s">
        <v>571</v>
      </c>
      <c r="AD230" s="26">
        <v>698.14</v>
      </c>
      <c r="AE230" s="26"/>
      <c r="AF230" s="26">
        <v>62</v>
      </c>
      <c r="AG230" s="26">
        <v>1250</v>
      </c>
      <c r="AH230" s="3"/>
      <c r="AL230" s="3">
        <v>1692</v>
      </c>
      <c r="AM230" s="34">
        <v>698.14</v>
      </c>
      <c r="AN230" s="40">
        <f>(AM230-122)/3</f>
        <v>192.04666666666665</v>
      </c>
      <c r="AO230" s="40">
        <f>AN230*1.0425+1.2088</f>
        <v>201.41744999999997</v>
      </c>
      <c r="AP230" s="34"/>
      <c r="AQ230" s="3"/>
      <c r="AR230" s="3"/>
      <c r="AS230" s="4" t="s">
        <v>25</v>
      </c>
    </row>
    <row r="231" spans="1:45" x14ac:dyDescent="0.25">
      <c r="A231" s="4"/>
      <c r="B231" s="4"/>
      <c r="C231" s="4">
        <v>161</v>
      </c>
      <c r="D231" s="4" t="s">
        <v>574</v>
      </c>
      <c r="E231" s="5">
        <v>24.634</v>
      </c>
      <c r="F231" s="5" t="s">
        <v>31</v>
      </c>
      <c r="G231" s="13" t="s">
        <v>24</v>
      </c>
      <c r="H231" s="5" t="s">
        <v>31</v>
      </c>
      <c r="I231" s="4" t="s">
        <v>31</v>
      </c>
      <c r="J231" s="4"/>
      <c r="K231" s="4" t="s">
        <v>38</v>
      </c>
      <c r="L231" s="4">
        <v>17</v>
      </c>
      <c r="M231" s="4" t="str">
        <f t="shared" si="26"/>
        <v>G17</v>
      </c>
      <c r="N231" s="4" t="s">
        <v>371</v>
      </c>
      <c r="O231" s="4">
        <v>231</v>
      </c>
      <c r="P231">
        <v>260</v>
      </c>
      <c r="Q231" t="s">
        <v>28</v>
      </c>
      <c r="R231" t="b">
        <f t="shared" si="27"/>
        <v>1</v>
      </c>
      <c r="S231" s="4" t="s">
        <v>574</v>
      </c>
      <c r="T231" s="3">
        <v>1693</v>
      </c>
      <c r="U231" s="4" t="s">
        <v>31</v>
      </c>
      <c r="V231" s="5">
        <v>24.634</v>
      </c>
      <c r="W231" s="5" t="s">
        <v>31</v>
      </c>
      <c r="X231" s="3" t="s">
        <v>575</v>
      </c>
      <c r="Y231" s="12" t="e">
        <f t="shared" si="28"/>
        <v>#VALUE!</v>
      </c>
      <c r="AA231" t="b">
        <f t="shared" si="29"/>
        <v>1</v>
      </c>
      <c r="AB231" s="18" t="s">
        <v>576</v>
      </c>
      <c r="AC231" s="18" t="s">
        <v>574</v>
      </c>
      <c r="AD231" s="26" t="s">
        <v>374</v>
      </c>
      <c r="AE231" s="26"/>
      <c r="AF231" s="26" t="s">
        <v>374</v>
      </c>
      <c r="AG231" s="26" t="s">
        <v>374</v>
      </c>
      <c r="AH231" s="3"/>
      <c r="AL231" s="3">
        <v>1693</v>
      </c>
      <c r="AM231" s="34" t="s">
        <v>374</v>
      </c>
      <c r="AN231" s="17"/>
      <c r="AO231" s="17"/>
      <c r="AP231" s="34"/>
      <c r="AQ231" s="3"/>
      <c r="AR231" s="3"/>
      <c r="AS231" s="4" t="s">
        <v>31</v>
      </c>
    </row>
    <row r="232" spans="1:45" x14ac:dyDescent="0.25">
      <c r="A232" s="4"/>
      <c r="B232" s="4"/>
      <c r="C232" s="4">
        <v>209</v>
      </c>
      <c r="D232" s="4" t="s">
        <v>577</v>
      </c>
      <c r="E232" s="5">
        <v>25.071000000000002</v>
      </c>
      <c r="F232" s="5" t="s">
        <v>31</v>
      </c>
      <c r="G232" s="13" t="s">
        <v>24</v>
      </c>
      <c r="H232" s="5" t="s">
        <v>31</v>
      </c>
      <c r="I232" s="4" t="s">
        <v>31</v>
      </c>
      <c r="J232" s="4"/>
      <c r="K232" s="4" t="s">
        <v>41</v>
      </c>
      <c r="L232" s="4">
        <v>17</v>
      </c>
      <c r="M232" s="4" t="str">
        <f t="shared" si="26"/>
        <v>I17</v>
      </c>
      <c r="N232" s="4" t="s">
        <v>385</v>
      </c>
      <c r="O232" s="4">
        <v>321</v>
      </c>
      <c r="P232">
        <v>261</v>
      </c>
      <c r="Q232" t="s">
        <v>28</v>
      </c>
      <c r="R232" t="b">
        <f t="shared" si="27"/>
        <v>1</v>
      </c>
      <c r="S232" s="4" t="s">
        <v>577</v>
      </c>
      <c r="T232" s="3">
        <v>1694</v>
      </c>
      <c r="U232" s="4" t="s">
        <v>31</v>
      </c>
      <c r="V232" s="5">
        <v>25.071000000000002</v>
      </c>
      <c r="W232" s="5" t="s">
        <v>31</v>
      </c>
      <c r="X232" s="3" t="s">
        <v>578</v>
      </c>
      <c r="Y232" s="12" t="e">
        <f t="shared" si="28"/>
        <v>#VALUE!</v>
      </c>
      <c r="AA232" t="b">
        <f t="shared" si="29"/>
        <v>1</v>
      </c>
      <c r="AB232" s="18" t="s">
        <v>579</v>
      </c>
      <c r="AC232" s="18" t="s">
        <v>577</v>
      </c>
      <c r="AD232" s="26" t="s">
        <v>374</v>
      </c>
      <c r="AE232" s="26"/>
      <c r="AF232" s="26" t="s">
        <v>374</v>
      </c>
      <c r="AG232" s="26" t="s">
        <v>374</v>
      </c>
      <c r="AH232" s="3"/>
      <c r="AL232" s="3">
        <v>1694</v>
      </c>
      <c r="AM232" s="34" t="s">
        <v>374</v>
      </c>
      <c r="AN232" s="17"/>
      <c r="AO232" s="17"/>
      <c r="AP232" s="34"/>
      <c r="AQ232" s="3"/>
      <c r="AR232" s="3"/>
      <c r="AS232" s="4" t="s">
        <v>31</v>
      </c>
    </row>
    <row r="233" spans="1:45" x14ac:dyDescent="0.25">
      <c r="A233" s="4"/>
      <c r="B233" s="4"/>
      <c r="C233" s="4">
        <v>257</v>
      </c>
      <c r="D233" s="4" t="s">
        <v>580</v>
      </c>
      <c r="E233" s="5">
        <v>26.042000000000002</v>
      </c>
      <c r="F233" s="5">
        <v>28.13</v>
      </c>
      <c r="G233" s="13" t="s">
        <v>24</v>
      </c>
      <c r="H233" s="5" t="s">
        <v>24</v>
      </c>
      <c r="I233" s="4" t="s">
        <v>25</v>
      </c>
      <c r="J233" s="4"/>
      <c r="K233" s="4" t="s">
        <v>45</v>
      </c>
      <c r="L233" s="4">
        <v>17</v>
      </c>
      <c r="M233" s="4" t="str">
        <f t="shared" si="26"/>
        <v>K17</v>
      </c>
      <c r="N233" s="4" t="s">
        <v>385</v>
      </c>
      <c r="O233" s="4">
        <v>323</v>
      </c>
      <c r="P233">
        <v>262</v>
      </c>
      <c r="Q233" t="s">
        <v>28</v>
      </c>
      <c r="R233" t="b">
        <f t="shared" si="27"/>
        <v>1</v>
      </c>
      <c r="S233" s="4" t="s">
        <v>580</v>
      </c>
      <c r="T233" s="3">
        <v>1695</v>
      </c>
      <c r="U233" s="4" t="s">
        <v>25</v>
      </c>
      <c r="V233" s="5">
        <v>26.042000000000002</v>
      </c>
      <c r="W233" s="5">
        <v>28.13</v>
      </c>
      <c r="X233" s="3" t="s">
        <v>581</v>
      </c>
      <c r="Y233" s="12">
        <f t="shared" si="28"/>
        <v>-2.0879999999999974</v>
      </c>
      <c r="AA233" t="b">
        <f t="shared" si="29"/>
        <v>1</v>
      </c>
      <c r="AB233" s="18" t="s">
        <v>582</v>
      </c>
      <c r="AC233" s="18" t="s">
        <v>580</v>
      </c>
      <c r="AD233" s="26">
        <v>689.61</v>
      </c>
      <c r="AE233" s="26"/>
      <c r="AF233" s="26">
        <v>112</v>
      </c>
      <c r="AG233" s="26">
        <v>2125</v>
      </c>
      <c r="AH233" s="3"/>
      <c r="AL233" s="3">
        <v>1695</v>
      </c>
      <c r="AM233" s="34">
        <v>689.61</v>
      </c>
      <c r="AN233" s="40">
        <f>(AM233-122)/3</f>
        <v>189.20333333333335</v>
      </c>
      <c r="AO233" s="40">
        <f>AN233*1.0425+1.2088</f>
        <v>198.45327500000002</v>
      </c>
      <c r="AP233" s="34"/>
      <c r="AQ233" s="3"/>
      <c r="AR233" s="3"/>
      <c r="AS233" s="4" t="s">
        <v>25</v>
      </c>
    </row>
    <row r="234" spans="1:45" x14ac:dyDescent="0.25">
      <c r="A234" s="4"/>
      <c r="B234" s="4"/>
      <c r="C234" s="4">
        <v>305</v>
      </c>
      <c r="D234" s="4" t="s">
        <v>583</v>
      </c>
      <c r="E234" s="5">
        <v>26.300999999999998</v>
      </c>
      <c r="F234" s="5">
        <v>28.443999999999999</v>
      </c>
      <c r="G234" s="13" t="s">
        <v>24</v>
      </c>
      <c r="H234" s="5" t="s">
        <v>24</v>
      </c>
      <c r="I234" s="4" t="s">
        <v>25</v>
      </c>
      <c r="J234" s="4"/>
      <c r="K234" s="4" t="s">
        <v>48</v>
      </c>
      <c r="L234" s="4">
        <v>17</v>
      </c>
      <c r="M234" s="4" t="str">
        <f t="shared" si="26"/>
        <v>M17</v>
      </c>
      <c r="N234" s="4" t="s">
        <v>385</v>
      </c>
      <c r="O234" s="4">
        <v>325</v>
      </c>
      <c r="P234">
        <v>263</v>
      </c>
      <c r="Q234" t="s">
        <v>28</v>
      </c>
      <c r="R234" t="b">
        <f t="shared" si="27"/>
        <v>1</v>
      </c>
      <c r="S234" s="4" t="s">
        <v>583</v>
      </c>
      <c r="T234" s="3">
        <v>1696</v>
      </c>
      <c r="U234" s="4" t="s">
        <v>25</v>
      </c>
      <c r="V234" s="5">
        <v>26.300999999999998</v>
      </c>
      <c r="W234" s="5">
        <v>28.443999999999999</v>
      </c>
      <c r="X234" s="3" t="s">
        <v>584</v>
      </c>
      <c r="Y234" s="12">
        <f t="shared" si="28"/>
        <v>-2.1430000000000007</v>
      </c>
      <c r="AA234" t="b">
        <f t="shared" si="29"/>
        <v>1</v>
      </c>
      <c r="AB234" s="18" t="s">
        <v>585</v>
      </c>
      <c r="AC234" s="18" t="s">
        <v>583</v>
      </c>
      <c r="AD234" s="26">
        <v>692.57</v>
      </c>
      <c r="AE234" s="26"/>
      <c r="AF234" s="26">
        <v>98</v>
      </c>
      <c r="AG234" s="26">
        <v>2086</v>
      </c>
      <c r="AH234" s="3"/>
      <c r="AL234" s="3">
        <v>1696</v>
      </c>
      <c r="AM234" s="34">
        <v>692.57</v>
      </c>
      <c r="AN234" s="40">
        <f>(AM234-122)/3</f>
        <v>190.19000000000003</v>
      </c>
      <c r="AO234" s="40">
        <f>AN234*1.0425+1.2088</f>
        <v>199.48187500000003</v>
      </c>
      <c r="AP234" s="34"/>
      <c r="AQ234" s="3"/>
      <c r="AR234" s="3"/>
      <c r="AS234" s="4" t="s">
        <v>25</v>
      </c>
    </row>
    <row r="235" spans="1:45" x14ac:dyDescent="0.25">
      <c r="A235" s="4"/>
      <c r="B235" s="4"/>
      <c r="C235" s="4">
        <v>353</v>
      </c>
      <c r="D235" s="4" t="s">
        <v>586</v>
      </c>
      <c r="E235" s="5">
        <v>25.736000000000001</v>
      </c>
      <c r="F235" s="5">
        <v>27.84</v>
      </c>
      <c r="G235" s="13" t="s">
        <v>24</v>
      </c>
      <c r="H235" s="5" t="s">
        <v>24</v>
      </c>
      <c r="I235" s="4" t="s">
        <v>25</v>
      </c>
      <c r="J235" s="4"/>
      <c r="K235" s="4" t="s">
        <v>51</v>
      </c>
      <c r="L235" s="4">
        <v>17</v>
      </c>
      <c r="M235" s="4" t="str">
        <f t="shared" si="26"/>
        <v>O17</v>
      </c>
      <c r="N235" s="4" t="s">
        <v>385</v>
      </c>
      <c r="O235" s="4">
        <v>327</v>
      </c>
      <c r="P235">
        <v>264</v>
      </c>
      <c r="Q235" t="s">
        <v>28</v>
      </c>
      <c r="R235" t="b">
        <f t="shared" si="27"/>
        <v>1</v>
      </c>
      <c r="S235" s="4" t="s">
        <v>586</v>
      </c>
      <c r="T235" s="3">
        <v>1697</v>
      </c>
      <c r="U235" s="4" t="s">
        <v>25</v>
      </c>
      <c r="V235" s="5">
        <v>25.736000000000001</v>
      </c>
      <c r="W235" s="5">
        <v>27.84</v>
      </c>
      <c r="X235" s="3" t="s">
        <v>587</v>
      </c>
      <c r="Y235" s="12">
        <f t="shared" si="28"/>
        <v>-2.1039999999999992</v>
      </c>
      <c r="AA235" t="b">
        <f t="shared" si="29"/>
        <v>1</v>
      </c>
      <c r="AB235" s="18" t="s">
        <v>588</v>
      </c>
      <c r="AC235" s="18" t="s">
        <v>586</v>
      </c>
      <c r="AD235" s="26">
        <v>689.38</v>
      </c>
      <c r="AE235" s="26"/>
      <c r="AF235" s="26">
        <v>171</v>
      </c>
      <c r="AG235" s="26">
        <v>3638</v>
      </c>
      <c r="AH235" s="3"/>
      <c r="AL235" s="3">
        <v>1697</v>
      </c>
      <c r="AM235" s="34">
        <v>689.38</v>
      </c>
      <c r="AN235" s="40">
        <f>(AM235-122)/3</f>
        <v>189.12666666666667</v>
      </c>
      <c r="AO235" s="40">
        <f>AN235*1.0425+1.2088</f>
        <v>198.37334999999999</v>
      </c>
      <c r="AP235" s="34"/>
      <c r="AQ235" s="3"/>
      <c r="AR235" s="3"/>
      <c r="AS235" s="4" t="s">
        <v>25</v>
      </c>
    </row>
    <row r="236" spans="1:45" x14ac:dyDescent="0.25">
      <c r="A236" s="4"/>
      <c r="B236" s="4"/>
      <c r="C236" s="4">
        <v>41</v>
      </c>
      <c r="D236" s="4" t="s">
        <v>589</v>
      </c>
      <c r="E236" s="5">
        <v>24.077000000000002</v>
      </c>
      <c r="F236" s="5" t="s">
        <v>31</v>
      </c>
      <c r="G236" s="13" t="s">
        <v>24</v>
      </c>
      <c r="H236" s="5" t="s">
        <v>31</v>
      </c>
      <c r="I236" s="4" t="s">
        <v>31</v>
      </c>
      <c r="J236" s="4"/>
      <c r="K236" s="4" t="s">
        <v>54</v>
      </c>
      <c r="L236" s="4">
        <v>17</v>
      </c>
      <c r="M236" s="4" t="str">
        <f t="shared" si="26"/>
        <v>B17</v>
      </c>
      <c r="N236" s="4" t="s">
        <v>371</v>
      </c>
      <c r="O236" s="4">
        <v>226</v>
      </c>
      <c r="P236">
        <v>265</v>
      </c>
      <c r="Q236" t="s">
        <v>28</v>
      </c>
      <c r="R236" t="b">
        <f t="shared" si="27"/>
        <v>1</v>
      </c>
      <c r="S236" s="4" t="s">
        <v>589</v>
      </c>
      <c r="T236" s="3">
        <v>1698</v>
      </c>
      <c r="U236" s="4" t="s">
        <v>31</v>
      </c>
      <c r="V236" s="5">
        <v>24.077000000000002</v>
      </c>
      <c r="W236" s="5" t="s">
        <v>31</v>
      </c>
      <c r="X236" s="3" t="s">
        <v>590</v>
      </c>
      <c r="Y236" s="12" t="e">
        <f t="shared" si="28"/>
        <v>#VALUE!</v>
      </c>
      <c r="AA236" t="b">
        <f t="shared" si="29"/>
        <v>1</v>
      </c>
      <c r="AB236" s="18" t="s">
        <v>591</v>
      </c>
      <c r="AC236" s="18" t="s">
        <v>589</v>
      </c>
      <c r="AD236" s="26" t="s">
        <v>374</v>
      </c>
      <c r="AE236" s="26"/>
      <c r="AF236" s="26" t="s">
        <v>374</v>
      </c>
      <c r="AG236" s="26" t="s">
        <v>374</v>
      </c>
      <c r="AH236" s="3"/>
      <c r="AL236" s="3">
        <v>1698</v>
      </c>
      <c r="AM236" s="34" t="s">
        <v>374</v>
      </c>
      <c r="AN236" s="17"/>
      <c r="AO236" s="17"/>
      <c r="AP236" s="34"/>
      <c r="AQ236" s="3"/>
      <c r="AR236" s="3"/>
      <c r="AS236" s="4" t="s">
        <v>31</v>
      </c>
    </row>
    <row r="237" spans="1:45" x14ac:dyDescent="0.25">
      <c r="A237" s="4"/>
      <c r="B237" s="4"/>
      <c r="C237" s="4">
        <v>89</v>
      </c>
      <c r="D237" s="4" t="s">
        <v>592</v>
      </c>
      <c r="E237" s="5">
        <v>25.888000000000002</v>
      </c>
      <c r="F237" s="5">
        <v>27.954000000000001</v>
      </c>
      <c r="G237" s="13" t="s">
        <v>24</v>
      </c>
      <c r="H237" s="5" t="s">
        <v>24</v>
      </c>
      <c r="I237" s="4" t="s">
        <v>25</v>
      </c>
      <c r="J237" s="4"/>
      <c r="K237" s="4" t="s">
        <v>57</v>
      </c>
      <c r="L237" s="4">
        <v>17</v>
      </c>
      <c r="M237" s="4" t="str">
        <f t="shared" si="26"/>
        <v>D17</v>
      </c>
      <c r="N237" s="4" t="s">
        <v>371</v>
      </c>
      <c r="O237" s="4">
        <v>228</v>
      </c>
      <c r="P237">
        <v>266</v>
      </c>
      <c r="Q237" t="s">
        <v>28</v>
      </c>
      <c r="R237" t="b">
        <f t="shared" si="27"/>
        <v>1</v>
      </c>
      <c r="S237" s="4" t="s">
        <v>592</v>
      </c>
      <c r="T237" s="3">
        <v>1699</v>
      </c>
      <c r="U237" s="4" t="s">
        <v>25</v>
      </c>
      <c r="V237" s="5">
        <v>25.888000000000002</v>
      </c>
      <c r="W237" s="5">
        <v>27.954000000000001</v>
      </c>
      <c r="X237" s="3" t="s">
        <v>593</v>
      </c>
      <c r="Y237" s="12">
        <f t="shared" si="28"/>
        <v>-2.0659999999999989</v>
      </c>
      <c r="AA237" t="b">
        <f t="shared" si="29"/>
        <v>1</v>
      </c>
      <c r="AB237" s="18" t="s">
        <v>594</v>
      </c>
      <c r="AC237" s="18" t="s">
        <v>592</v>
      </c>
      <c r="AD237" s="26">
        <v>683.67</v>
      </c>
      <c r="AE237" s="26"/>
      <c r="AF237" s="26">
        <v>73</v>
      </c>
      <c r="AG237" s="26">
        <v>1653</v>
      </c>
      <c r="AH237" s="3"/>
      <c r="AL237" s="3">
        <v>1699</v>
      </c>
      <c r="AM237" s="34">
        <v>683.67</v>
      </c>
      <c r="AN237" s="40">
        <f>(AM237-122)/3</f>
        <v>187.22333333333333</v>
      </c>
      <c r="AO237" s="40">
        <f>AN237*1.0425+1.2088</f>
        <v>196.38912499999998</v>
      </c>
      <c r="AP237" s="34"/>
      <c r="AQ237" s="3"/>
      <c r="AR237" s="3"/>
      <c r="AS237" s="4" t="s">
        <v>25</v>
      </c>
    </row>
    <row r="238" spans="1:45" x14ac:dyDescent="0.25">
      <c r="A238" s="4"/>
      <c r="B238" s="4"/>
      <c r="C238" s="4">
        <v>137</v>
      </c>
      <c r="D238" s="4" t="s">
        <v>595</v>
      </c>
      <c r="E238" s="5">
        <v>25.242999999999999</v>
      </c>
      <c r="F238" s="5">
        <v>27.385999999999999</v>
      </c>
      <c r="G238" s="13" t="s">
        <v>24</v>
      </c>
      <c r="H238" s="5" t="s">
        <v>24</v>
      </c>
      <c r="I238" s="4" t="s">
        <v>25</v>
      </c>
      <c r="J238" s="4"/>
      <c r="K238" s="4" t="s">
        <v>60</v>
      </c>
      <c r="L238" s="4">
        <v>17</v>
      </c>
      <c r="M238" s="4" t="str">
        <f t="shared" si="26"/>
        <v>F17</v>
      </c>
      <c r="N238" s="4" t="s">
        <v>371</v>
      </c>
      <c r="O238" s="4">
        <v>230</v>
      </c>
      <c r="P238">
        <v>267</v>
      </c>
      <c r="Q238" t="s">
        <v>28</v>
      </c>
      <c r="R238" t="b">
        <f t="shared" si="27"/>
        <v>1</v>
      </c>
      <c r="S238" s="4" t="s">
        <v>595</v>
      </c>
      <c r="T238" s="3">
        <v>1700</v>
      </c>
      <c r="U238" s="4" t="s">
        <v>25</v>
      </c>
      <c r="V238" s="5">
        <v>25.242999999999999</v>
      </c>
      <c r="W238" s="5">
        <v>27.385999999999999</v>
      </c>
      <c r="X238" s="3" t="s">
        <v>596</v>
      </c>
      <c r="Y238" s="12">
        <f t="shared" si="28"/>
        <v>-2.1430000000000007</v>
      </c>
      <c r="AA238" t="b">
        <f t="shared" si="29"/>
        <v>1</v>
      </c>
      <c r="AB238" s="18" t="s">
        <v>597</v>
      </c>
      <c r="AC238" s="18" t="s">
        <v>595</v>
      </c>
      <c r="AD238" s="26">
        <v>689.48</v>
      </c>
      <c r="AE238" s="26"/>
      <c r="AF238" s="26">
        <v>120</v>
      </c>
      <c r="AG238" s="26">
        <v>2619</v>
      </c>
      <c r="AH238" s="3"/>
      <c r="AL238" s="3">
        <v>1700</v>
      </c>
      <c r="AM238" s="34">
        <v>689.48</v>
      </c>
      <c r="AN238" s="40">
        <f>(AM238-122)/3</f>
        <v>189.16</v>
      </c>
      <c r="AO238" s="40">
        <f>AN238*1.0425+1.2088</f>
        <v>198.40809999999999</v>
      </c>
      <c r="AP238" s="34"/>
      <c r="AQ238" s="3"/>
      <c r="AR238" s="3"/>
      <c r="AS238" s="4" t="s">
        <v>25</v>
      </c>
    </row>
    <row r="239" spans="1:45" x14ac:dyDescent="0.25">
      <c r="A239" s="4"/>
      <c r="B239" s="4"/>
      <c r="C239" s="4">
        <v>185</v>
      </c>
      <c r="D239" s="4" t="s">
        <v>598</v>
      </c>
      <c r="E239" s="5">
        <v>25.253</v>
      </c>
      <c r="F239" s="5">
        <v>27.437000000000001</v>
      </c>
      <c r="G239" s="13" t="s">
        <v>24</v>
      </c>
      <c r="H239" s="5" t="s">
        <v>24</v>
      </c>
      <c r="I239" s="4" t="s">
        <v>25</v>
      </c>
      <c r="J239" s="4"/>
      <c r="K239" s="4" t="s">
        <v>64</v>
      </c>
      <c r="L239" s="4">
        <v>17</v>
      </c>
      <c r="M239" s="4" t="str">
        <f t="shared" si="26"/>
        <v>H17</v>
      </c>
      <c r="N239" s="4" t="s">
        <v>371</v>
      </c>
      <c r="O239" s="4">
        <v>232</v>
      </c>
      <c r="P239">
        <v>268</v>
      </c>
      <c r="Q239" t="s">
        <v>28</v>
      </c>
      <c r="R239" t="b">
        <f t="shared" si="27"/>
        <v>1</v>
      </c>
      <c r="S239" s="4" t="s">
        <v>598</v>
      </c>
      <c r="T239" s="3">
        <v>1701</v>
      </c>
      <c r="U239" s="4" t="s">
        <v>25</v>
      </c>
      <c r="V239" s="5">
        <v>25.253</v>
      </c>
      <c r="W239" s="5">
        <v>27.437000000000001</v>
      </c>
      <c r="X239" s="3" t="s">
        <v>599</v>
      </c>
      <c r="Y239" s="12">
        <f t="shared" si="28"/>
        <v>-2.1840000000000011</v>
      </c>
      <c r="AA239" t="b">
        <f t="shared" si="29"/>
        <v>1</v>
      </c>
      <c r="AB239" s="18" t="s">
        <v>600</v>
      </c>
      <c r="AC239" s="18" t="s">
        <v>598</v>
      </c>
      <c r="AD239" s="26">
        <v>686.79</v>
      </c>
      <c r="AE239" s="26"/>
      <c r="AF239" s="26">
        <v>122</v>
      </c>
      <c r="AG239" s="26">
        <v>2560</v>
      </c>
      <c r="AH239" s="3"/>
      <c r="AL239" s="3">
        <v>1701</v>
      </c>
      <c r="AM239" s="34">
        <v>686.79</v>
      </c>
      <c r="AN239" s="40">
        <f>(AM239-122)/3</f>
        <v>188.26333333333332</v>
      </c>
      <c r="AO239" s="40">
        <f>AN239*1.0425+1.2088</f>
        <v>197.47332499999999</v>
      </c>
      <c r="AP239" s="34"/>
      <c r="AQ239" s="3"/>
      <c r="AR239" s="3"/>
      <c r="AS239" s="4" t="s">
        <v>25</v>
      </c>
    </row>
    <row r="240" spans="1:45" x14ac:dyDescent="0.25">
      <c r="A240" s="4"/>
      <c r="B240" s="4"/>
      <c r="C240" s="4">
        <v>233</v>
      </c>
      <c r="D240" s="4" t="s">
        <v>601</v>
      </c>
      <c r="E240" s="5">
        <v>25.516999999999999</v>
      </c>
      <c r="F240" s="5" t="s">
        <v>31</v>
      </c>
      <c r="G240" s="13" t="s">
        <v>24</v>
      </c>
      <c r="H240" s="5" t="s">
        <v>31</v>
      </c>
      <c r="I240" s="4" t="s">
        <v>31</v>
      </c>
      <c r="J240" s="4"/>
      <c r="K240" s="4" t="s">
        <v>67</v>
      </c>
      <c r="L240" s="4">
        <v>17</v>
      </c>
      <c r="M240" s="4" t="str">
        <f t="shared" si="26"/>
        <v>J17</v>
      </c>
      <c r="N240" s="4" t="s">
        <v>385</v>
      </c>
      <c r="O240" s="4">
        <v>322</v>
      </c>
      <c r="P240">
        <v>269</v>
      </c>
      <c r="Q240" t="s">
        <v>28</v>
      </c>
      <c r="R240" t="b">
        <f t="shared" si="27"/>
        <v>1</v>
      </c>
      <c r="S240" s="4" t="s">
        <v>601</v>
      </c>
      <c r="T240" s="3">
        <v>1702</v>
      </c>
      <c r="U240" s="4" t="s">
        <v>31</v>
      </c>
      <c r="V240" s="5">
        <v>25.516999999999999</v>
      </c>
      <c r="W240" s="5" t="s">
        <v>31</v>
      </c>
      <c r="X240" s="3" t="s">
        <v>602</v>
      </c>
      <c r="Y240" s="12" t="e">
        <f t="shared" si="28"/>
        <v>#VALUE!</v>
      </c>
      <c r="AA240" t="b">
        <f t="shared" si="29"/>
        <v>1</v>
      </c>
      <c r="AB240" s="18" t="s">
        <v>603</v>
      </c>
      <c r="AC240" s="18" t="s">
        <v>601</v>
      </c>
      <c r="AD240" s="26" t="s">
        <v>374</v>
      </c>
      <c r="AE240" s="26"/>
      <c r="AF240" s="26" t="s">
        <v>374</v>
      </c>
      <c r="AG240" s="26" t="s">
        <v>374</v>
      </c>
      <c r="AH240" s="3"/>
      <c r="AL240" s="3">
        <v>1702</v>
      </c>
      <c r="AM240" s="34" t="s">
        <v>374</v>
      </c>
      <c r="AN240" s="17"/>
      <c r="AO240" s="17"/>
      <c r="AP240" s="34"/>
      <c r="AQ240" s="3"/>
      <c r="AR240" s="3"/>
      <c r="AS240" s="4" t="s">
        <v>31</v>
      </c>
    </row>
    <row r="241" spans="1:45" x14ac:dyDescent="0.25">
      <c r="A241" s="4"/>
      <c r="B241" s="4"/>
      <c r="C241" s="4">
        <v>281</v>
      </c>
      <c r="D241" s="4" t="s">
        <v>604</v>
      </c>
      <c r="E241" s="5">
        <v>26.21</v>
      </c>
      <c r="F241" s="5">
        <v>28.387</v>
      </c>
      <c r="G241" s="13" t="s">
        <v>24</v>
      </c>
      <c r="H241" s="5" t="s">
        <v>24</v>
      </c>
      <c r="I241" s="4" t="s">
        <v>25</v>
      </c>
      <c r="J241" s="4"/>
      <c r="K241" s="4" t="s">
        <v>70</v>
      </c>
      <c r="L241" s="4">
        <v>17</v>
      </c>
      <c r="M241" s="4" t="str">
        <f t="shared" si="26"/>
        <v>L17</v>
      </c>
      <c r="N241" s="4" t="s">
        <v>385</v>
      </c>
      <c r="O241" s="4">
        <v>324</v>
      </c>
      <c r="P241">
        <v>270</v>
      </c>
      <c r="Q241" t="s">
        <v>28</v>
      </c>
      <c r="R241" t="b">
        <f t="shared" si="27"/>
        <v>1</v>
      </c>
      <c r="S241" s="4" t="s">
        <v>604</v>
      </c>
      <c r="T241" s="3">
        <v>1703</v>
      </c>
      <c r="U241" s="4" t="s">
        <v>25</v>
      </c>
      <c r="V241" s="5">
        <v>26.21</v>
      </c>
      <c r="W241" s="5">
        <v>28.387</v>
      </c>
      <c r="X241" s="3" t="s">
        <v>605</v>
      </c>
      <c r="Y241" s="12">
        <f t="shared" si="28"/>
        <v>-2.1769999999999996</v>
      </c>
      <c r="AA241" t="b">
        <f t="shared" si="29"/>
        <v>1</v>
      </c>
      <c r="AB241" s="18" t="s">
        <v>606</v>
      </c>
      <c r="AC241" s="18" t="s">
        <v>604</v>
      </c>
      <c r="AD241" s="26">
        <v>689.58</v>
      </c>
      <c r="AE241" s="26"/>
      <c r="AF241" s="26">
        <v>101</v>
      </c>
      <c r="AG241" s="26">
        <v>2198</v>
      </c>
      <c r="AH241" s="3"/>
      <c r="AL241" s="3">
        <v>1703</v>
      </c>
      <c r="AM241" s="34">
        <v>689.58</v>
      </c>
      <c r="AN241" s="40">
        <f>(AM241-122)/3</f>
        <v>189.19333333333336</v>
      </c>
      <c r="AO241" s="40">
        <f>AN241*1.0425+1.2088</f>
        <v>198.44285000000002</v>
      </c>
      <c r="AP241" s="34"/>
      <c r="AQ241" s="3"/>
      <c r="AR241" s="3"/>
      <c r="AS241" s="4" t="s">
        <v>25</v>
      </c>
    </row>
    <row r="242" spans="1:45" x14ac:dyDescent="0.25">
      <c r="A242" s="4"/>
      <c r="B242" s="4"/>
      <c r="C242" s="4">
        <v>329</v>
      </c>
      <c r="D242" s="4" t="s">
        <v>607</v>
      </c>
      <c r="E242" s="5">
        <v>28.099</v>
      </c>
      <c r="F242" s="5">
        <v>30.33</v>
      </c>
      <c r="G242" s="13" t="s">
        <v>24</v>
      </c>
      <c r="H242" s="5" t="s">
        <v>24</v>
      </c>
      <c r="I242" s="4" t="s">
        <v>25</v>
      </c>
      <c r="J242" s="4"/>
      <c r="K242" s="4" t="s">
        <v>73</v>
      </c>
      <c r="L242" s="4">
        <v>17</v>
      </c>
      <c r="M242" s="4" t="str">
        <f t="shared" si="26"/>
        <v>N17</v>
      </c>
      <c r="N242" s="4" t="s">
        <v>385</v>
      </c>
      <c r="O242" s="4">
        <v>326</v>
      </c>
      <c r="P242">
        <v>271</v>
      </c>
      <c r="Q242" t="s">
        <v>28</v>
      </c>
      <c r="R242" t="b">
        <f t="shared" si="27"/>
        <v>1</v>
      </c>
      <c r="S242" s="4" t="s">
        <v>607</v>
      </c>
      <c r="T242" s="3">
        <v>1704</v>
      </c>
      <c r="U242" s="4" t="s">
        <v>25</v>
      </c>
      <c r="V242" s="5">
        <v>28.099</v>
      </c>
      <c r="W242" s="5">
        <v>30.33</v>
      </c>
      <c r="X242" s="3" t="s">
        <v>608</v>
      </c>
      <c r="Y242" s="12">
        <f t="shared" si="28"/>
        <v>-2.2309999999999981</v>
      </c>
      <c r="AA242" t="b">
        <f t="shared" si="29"/>
        <v>1</v>
      </c>
      <c r="AB242" s="18" t="s">
        <v>609</v>
      </c>
      <c r="AC242" s="18" t="s">
        <v>607</v>
      </c>
      <c r="AD242" s="3">
        <v>686.69</v>
      </c>
      <c r="AE242" s="3"/>
      <c r="AF242" s="3">
        <v>338</v>
      </c>
      <c r="AG242" s="26" t="s">
        <v>374</v>
      </c>
      <c r="AH242" s="3" t="s">
        <v>19</v>
      </c>
      <c r="AL242" s="3">
        <v>1704</v>
      </c>
      <c r="AM242" s="17">
        <v>686.69</v>
      </c>
      <c r="AN242" s="40">
        <f>(AM242-122)/3</f>
        <v>188.23000000000002</v>
      </c>
      <c r="AO242" s="40">
        <f>AN242*1.0425+1.2088</f>
        <v>197.43857500000001</v>
      </c>
      <c r="AP242" s="17"/>
      <c r="AQ242" s="3"/>
      <c r="AR242" s="3"/>
      <c r="AS242" s="4" t="s">
        <v>25</v>
      </c>
    </row>
    <row r="243" spans="1:45" x14ac:dyDescent="0.25">
      <c r="A243" s="4"/>
      <c r="B243" s="4"/>
      <c r="C243" s="4">
        <v>377</v>
      </c>
      <c r="D243" s="4" t="s">
        <v>610</v>
      </c>
      <c r="E243" s="5">
        <v>26.716000000000001</v>
      </c>
      <c r="F243" s="5">
        <v>28.738</v>
      </c>
      <c r="G243" s="13" t="s">
        <v>24</v>
      </c>
      <c r="H243" s="5" t="s">
        <v>24</v>
      </c>
      <c r="I243" s="4" t="s">
        <v>25</v>
      </c>
      <c r="J243" s="4"/>
      <c r="K243" s="4" t="s">
        <v>76</v>
      </c>
      <c r="L243" s="4">
        <v>17</v>
      </c>
      <c r="M243" s="4" t="str">
        <f t="shared" si="26"/>
        <v>P17</v>
      </c>
      <c r="N243" s="4" t="s">
        <v>385</v>
      </c>
      <c r="O243" s="4">
        <v>328</v>
      </c>
      <c r="P243">
        <v>272</v>
      </c>
      <c r="Q243" t="s">
        <v>28</v>
      </c>
      <c r="R243" t="b">
        <f t="shared" si="27"/>
        <v>1</v>
      </c>
      <c r="S243" s="4" t="s">
        <v>610</v>
      </c>
      <c r="T243" s="3">
        <v>1705</v>
      </c>
      <c r="U243" s="4" t="s">
        <v>25</v>
      </c>
      <c r="V243" s="5">
        <v>26.716000000000001</v>
      </c>
      <c r="W243" s="5">
        <v>28.738</v>
      </c>
      <c r="X243" s="3" t="s">
        <v>611</v>
      </c>
      <c r="Y243" s="12">
        <f t="shared" si="28"/>
        <v>-2.0219999999999985</v>
      </c>
      <c r="AA243" t="b">
        <f t="shared" si="29"/>
        <v>1</v>
      </c>
      <c r="AB243" s="18" t="s">
        <v>612</v>
      </c>
      <c r="AC243" s="18" t="s">
        <v>610</v>
      </c>
      <c r="AD243" s="26">
        <v>671.84</v>
      </c>
      <c r="AE243" s="26"/>
      <c r="AF243" s="26">
        <v>87</v>
      </c>
      <c r="AG243" s="26">
        <v>2030</v>
      </c>
      <c r="AH243" s="3"/>
      <c r="AL243" s="3">
        <v>1705</v>
      </c>
      <c r="AM243" s="34">
        <v>671.84</v>
      </c>
      <c r="AN243" s="40">
        <f>(AM243-122)/3</f>
        <v>183.28</v>
      </c>
      <c r="AO243" s="40">
        <f>AN243*1.0425+1.2088</f>
        <v>192.2782</v>
      </c>
      <c r="AP243" s="34"/>
      <c r="AQ243" s="3"/>
      <c r="AR243" s="3"/>
      <c r="AS243" s="4" t="s">
        <v>25</v>
      </c>
    </row>
    <row r="244" spans="1:45" x14ac:dyDescent="0.25">
      <c r="A244" s="4"/>
      <c r="B244" s="4"/>
      <c r="C244" s="4">
        <v>18</v>
      </c>
      <c r="D244" s="4" t="s">
        <v>613</v>
      </c>
      <c r="E244" s="5">
        <v>25.363</v>
      </c>
      <c r="F244" s="5" t="s">
        <v>31</v>
      </c>
      <c r="G244" s="13" t="s">
        <v>24</v>
      </c>
      <c r="H244" s="5" t="s">
        <v>31</v>
      </c>
      <c r="I244" s="4" t="s">
        <v>31</v>
      </c>
      <c r="J244" s="4"/>
      <c r="K244" s="4" t="s">
        <v>26</v>
      </c>
      <c r="L244" s="4">
        <v>18</v>
      </c>
      <c r="M244" s="4" t="str">
        <f t="shared" si="26"/>
        <v>A18</v>
      </c>
      <c r="N244" s="4" t="s">
        <v>371</v>
      </c>
      <c r="O244" s="4">
        <v>233</v>
      </c>
      <c r="P244">
        <v>273</v>
      </c>
      <c r="Q244" t="s">
        <v>28</v>
      </c>
      <c r="R244" t="b">
        <f t="shared" si="27"/>
        <v>1</v>
      </c>
      <c r="S244" s="4" t="s">
        <v>613</v>
      </c>
      <c r="T244" s="3">
        <v>1706</v>
      </c>
      <c r="U244" s="4" t="s">
        <v>31</v>
      </c>
      <c r="V244" s="5">
        <v>25.363</v>
      </c>
      <c r="W244" s="5" t="s">
        <v>31</v>
      </c>
      <c r="X244" s="3" t="s">
        <v>614</v>
      </c>
      <c r="Y244" s="12" t="e">
        <f t="shared" si="28"/>
        <v>#VALUE!</v>
      </c>
      <c r="AA244" t="b">
        <f t="shared" si="29"/>
        <v>1</v>
      </c>
      <c r="AB244" s="18" t="s">
        <v>615</v>
      </c>
      <c r="AC244" s="18" t="s">
        <v>613</v>
      </c>
      <c r="AD244" s="26" t="s">
        <v>374</v>
      </c>
      <c r="AE244" s="26"/>
      <c r="AF244" s="26" t="s">
        <v>374</v>
      </c>
      <c r="AG244" s="26" t="s">
        <v>374</v>
      </c>
      <c r="AH244" s="3"/>
      <c r="AL244" s="3">
        <v>1706</v>
      </c>
      <c r="AM244" s="34" t="s">
        <v>374</v>
      </c>
      <c r="AN244" s="17"/>
      <c r="AO244" s="17"/>
      <c r="AP244" s="34"/>
      <c r="AQ244" s="3"/>
      <c r="AR244" s="3"/>
      <c r="AS244" s="4" t="s">
        <v>31</v>
      </c>
    </row>
    <row r="245" spans="1:45" x14ac:dyDescent="0.25">
      <c r="A245" s="4"/>
      <c r="B245" s="4"/>
      <c r="C245" s="4">
        <v>66</v>
      </c>
      <c r="D245" s="4" t="s">
        <v>616</v>
      </c>
      <c r="E245" s="5">
        <v>26.616</v>
      </c>
      <c r="F245" s="5">
        <v>28.709</v>
      </c>
      <c r="G245" s="13" t="s">
        <v>24</v>
      </c>
      <c r="H245" s="5" t="s">
        <v>24</v>
      </c>
      <c r="I245" s="4" t="s">
        <v>25</v>
      </c>
      <c r="J245" s="4"/>
      <c r="K245" s="4" t="s">
        <v>32</v>
      </c>
      <c r="L245" s="4">
        <v>18</v>
      </c>
      <c r="M245" s="4" t="str">
        <f t="shared" si="26"/>
        <v>C18</v>
      </c>
      <c r="N245" s="4" t="s">
        <v>371</v>
      </c>
      <c r="O245" s="4">
        <v>235</v>
      </c>
      <c r="P245">
        <v>274</v>
      </c>
      <c r="Q245" t="s">
        <v>28</v>
      </c>
      <c r="R245" t="b">
        <f t="shared" si="27"/>
        <v>1</v>
      </c>
      <c r="S245" s="4" t="s">
        <v>616</v>
      </c>
      <c r="T245" s="3">
        <v>1707</v>
      </c>
      <c r="U245" s="4" t="s">
        <v>25</v>
      </c>
      <c r="V245" s="5">
        <v>26.616</v>
      </c>
      <c r="W245" s="5">
        <v>28.709</v>
      </c>
      <c r="X245" s="3" t="s">
        <v>617</v>
      </c>
      <c r="Y245" s="12">
        <f t="shared" si="28"/>
        <v>-2.093</v>
      </c>
      <c r="AA245" t="b">
        <f t="shared" si="29"/>
        <v>1</v>
      </c>
      <c r="AB245" s="18" t="s">
        <v>618</v>
      </c>
      <c r="AC245" s="18" t="s">
        <v>616</v>
      </c>
      <c r="AD245" s="26">
        <v>680.77</v>
      </c>
      <c r="AE245" s="26"/>
      <c r="AF245" s="26">
        <v>79</v>
      </c>
      <c r="AG245" s="26">
        <v>1741</v>
      </c>
      <c r="AH245" s="3"/>
      <c r="AL245" s="3">
        <v>1707</v>
      </c>
      <c r="AM245" s="34">
        <v>680.77</v>
      </c>
      <c r="AN245" s="40">
        <f>(AM245-122)/3</f>
        <v>186.25666666666666</v>
      </c>
      <c r="AO245" s="40">
        <f>AN245*1.0425+1.2088</f>
        <v>195.38137499999999</v>
      </c>
      <c r="AP245" s="34"/>
      <c r="AQ245" s="3"/>
      <c r="AR245" s="3"/>
      <c r="AS245" s="4" t="s">
        <v>25</v>
      </c>
    </row>
    <row r="246" spans="1:45" x14ac:dyDescent="0.25">
      <c r="A246" s="4"/>
      <c r="B246" s="4"/>
      <c r="C246" s="4">
        <v>114</v>
      </c>
      <c r="D246" s="4" t="s">
        <v>619</v>
      </c>
      <c r="E246" s="5">
        <v>25.129000000000001</v>
      </c>
      <c r="F246" s="5" t="s">
        <v>31</v>
      </c>
      <c r="G246" s="13" t="s">
        <v>24</v>
      </c>
      <c r="H246" s="5" t="s">
        <v>31</v>
      </c>
      <c r="I246" s="4" t="s">
        <v>31</v>
      </c>
      <c r="J246" s="4"/>
      <c r="K246" s="4" t="s">
        <v>35</v>
      </c>
      <c r="L246" s="4">
        <v>18</v>
      </c>
      <c r="M246" s="4" t="str">
        <f t="shared" si="26"/>
        <v>E18</v>
      </c>
      <c r="N246" s="4" t="s">
        <v>371</v>
      </c>
      <c r="O246" s="4">
        <v>237</v>
      </c>
      <c r="P246">
        <v>275</v>
      </c>
      <c r="Q246" t="s">
        <v>28</v>
      </c>
      <c r="R246" t="b">
        <f t="shared" si="27"/>
        <v>1</v>
      </c>
      <c r="S246" s="4" t="s">
        <v>619</v>
      </c>
      <c r="T246" s="3">
        <v>1708</v>
      </c>
      <c r="U246" s="4" t="s">
        <v>31</v>
      </c>
      <c r="V246" s="5">
        <v>25.129000000000001</v>
      </c>
      <c r="W246" s="5" t="s">
        <v>31</v>
      </c>
      <c r="X246" s="3" t="s">
        <v>620</v>
      </c>
      <c r="Y246" s="12" t="e">
        <f t="shared" si="28"/>
        <v>#VALUE!</v>
      </c>
      <c r="AA246" t="b">
        <f t="shared" si="29"/>
        <v>1</v>
      </c>
      <c r="AB246" s="18" t="s">
        <v>621</v>
      </c>
      <c r="AC246" s="18" t="s">
        <v>619</v>
      </c>
      <c r="AD246" s="26" t="s">
        <v>374</v>
      </c>
      <c r="AE246" s="26"/>
      <c r="AF246" s="26" t="s">
        <v>374</v>
      </c>
      <c r="AG246" s="26" t="s">
        <v>374</v>
      </c>
      <c r="AH246" s="3"/>
      <c r="AL246" s="3">
        <v>1708</v>
      </c>
      <c r="AM246" s="34" t="s">
        <v>374</v>
      </c>
      <c r="AN246" s="17"/>
      <c r="AO246" s="17"/>
      <c r="AP246" s="34"/>
      <c r="AQ246" s="3"/>
      <c r="AR246" s="3"/>
      <c r="AS246" s="4" t="s">
        <v>31</v>
      </c>
    </row>
    <row r="247" spans="1:45" x14ac:dyDescent="0.25">
      <c r="A247" s="4"/>
      <c r="B247" s="4"/>
      <c r="C247" s="4">
        <v>162</v>
      </c>
      <c r="D247" s="4" t="s">
        <v>622</v>
      </c>
      <c r="E247" s="5">
        <v>24.975999999999999</v>
      </c>
      <c r="F247" s="5" t="s">
        <v>31</v>
      </c>
      <c r="G247" s="13" t="s">
        <v>24</v>
      </c>
      <c r="H247" s="5" t="s">
        <v>31</v>
      </c>
      <c r="I247" s="4" t="s">
        <v>31</v>
      </c>
      <c r="J247" s="4"/>
      <c r="K247" s="4" t="s">
        <v>38</v>
      </c>
      <c r="L247" s="4">
        <v>18</v>
      </c>
      <c r="M247" s="4" t="str">
        <f t="shared" si="26"/>
        <v>G18</v>
      </c>
      <c r="N247" s="4" t="s">
        <v>371</v>
      </c>
      <c r="O247" s="4">
        <v>239</v>
      </c>
      <c r="P247">
        <v>276</v>
      </c>
      <c r="Q247" t="s">
        <v>28</v>
      </c>
      <c r="R247" t="b">
        <f t="shared" si="27"/>
        <v>1</v>
      </c>
      <c r="S247" s="4" t="s">
        <v>622</v>
      </c>
      <c r="T247" s="3">
        <v>1709</v>
      </c>
      <c r="U247" s="4" t="s">
        <v>31</v>
      </c>
      <c r="V247" s="5">
        <v>24.975999999999999</v>
      </c>
      <c r="W247" s="5" t="s">
        <v>31</v>
      </c>
      <c r="X247" s="3" t="s">
        <v>623</v>
      </c>
      <c r="Y247" s="12" t="e">
        <f t="shared" si="28"/>
        <v>#VALUE!</v>
      </c>
      <c r="AA247" t="b">
        <f t="shared" si="29"/>
        <v>1</v>
      </c>
      <c r="AB247" s="18" t="s">
        <v>624</v>
      </c>
      <c r="AC247" s="18" t="s">
        <v>622</v>
      </c>
      <c r="AD247" s="26" t="s">
        <v>374</v>
      </c>
      <c r="AE247" s="26"/>
      <c r="AF247" s="26" t="s">
        <v>374</v>
      </c>
      <c r="AG247" s="26" t="s">
        <v>374</v>
      </c>
      <c r="AH247" s="3"/>
      <c r="AL247" s="3">
        <v>1709</v>
      </c>
      <c r="AM247" s="34" t="s">
        <v>374</v>
      </c>
      <c r="AN247" s="17"/>
      <c r="AO247" s="17"/>
      <c r="AP247" s="34"/>
      <c r="AQ247" s="3"/>
      <c r="AR247" s="3"/>
      <c r="AS247" s="4" t="s">
        <v>31</v>
      </c>
    </row>
    <row r="248" spans="1:45" x14ac:dyDescent="0.25">
      <c r="A248" s="4"/>
      <c r="B248" s="4"/>
      <c r="C248" s="4">
        <v>210</v>
      </c>
      <c r="D248" s="4" t="s">
        <v>625</v>
      </c>
      <c r="E248" s="5">
        <v>25.21</v>
      </c>
      <c r="F248" s="5" t="s">
        <v>31</v>
      </c>
      <c r="G248" s="13" t="s">
        <v>24</v>
      </c>
      <c r="H248" s="5" t="s">
        <v>31</v>
      </c>
      <c r="I248" s="4" t="s">
        <v>31</v>
      </c>
      <c r="J248" s="4"/>
      <c r="K248" s="4" t="s">
        <v>41</v>
      </c>
      <c r="L248" s="4">
        <v>18</v>
      </c>
      <c r="M248" s="4" t="str">
        <f t="shared" si="26"/>
        <v>I18</v>
      </c>
      <c r="N248" s="4" t="s">
        <v>385</v>
      </c>
      <c r="O248" s="4">
        <v>329</v>
      </c>
      <c r="P248">
        <v>277</v>
      </c>
      <c r="Q248" t="s">
        <v>28</v>
      </c>
      <c r="R248" t="b">
        <f t="shared" si="27"/>
        <v>1</v>
      </c>
      <c r="S248" s="4" t="s">
        <v>625</v>
      </c>
      <c r="T248" s="3">
        <v>1710</v>
      </c>
      <c r="U248" s="4" t="s">
        <v>31</v>
      </c>
      <c r="V248" s="5">
        <v>25.21</v>
      </c>
      <c r="W248" s="5" t="s">
        <v>31</v>
      </c>
      <c r="X248" s="3" t="s">
        <v>626</v>
      </c>
      <c r="Y248" s="12" t="e">
        <f t="shared" si="28"/>
        <v>#VALUE!</v>
      </c>
      <c r="AA248" t="b">
        <f t="shared" si="29"/>
        <v>1</v>
      </c>
      <c r="AB248" s="18" t="s">
        <v>627</v>
      </c>
      <c r="AC248" s="18" t="s">
        <v>625</v>
      </c>
      <c r="AD248" s="26" t="s">
        <v>374</v>
      </c>
      <c r="AE248" s="26"/>
      <c r="AF248" s="26" t="s">
        <v>374</v>
      </c>
      <c r="AG248" s="26" t="s">
        <v>374</v>
      </c>
      <c r="AH248" s="3"/>
      <c r="AL248" s="3">
        <v>1710</v>
      </c>
      <c r="AM248" s="34" t="s">
        <v>374</v>
      </c>
      <c r="AN248" s="17"/>
      <c r="AO248" s="17"/>
      <c r="AP248" s="34"/>
      <c r="AQ248" s="3"/>
      <c r="AR248" s="3"/>
      <c r="AS248" s="4" t="s">
        <v>31</v>
      </c>
    </row>
    <row r="249" spans="1:45" x14ac:dyDescent="0.25">
      <c r="A249" s="4"/>
      <c r="B249" s="4"/>
      <c r="C249" s="4">
        <v>258</v>
      </c>
      <c r="D249" s="4" t="s">
        <v>628</v>
      </c>
      <c r="E249" s="5">
        <v>25.837</v>
      </c>
      <c r="F249" s="5" t="s">
        <v>31</v>
      </c>
      <c r="G249" s="13" t="s">
        <v>24</v>
      </c>
      <c r="H249" s="5" t="s">
        <v>31</v>
      </c>
      <c r="I249" s="4" t="s">
        <v>31</v>
      </c>
      <c r="J249" s="4"/>
      <c r="K249" s="4" t="s">
        <v>45</v>
      </c>
      <c r="L249" s="4">
        <v>18</v>
      </c>
      <c r="M249" s="4" t="str">
        <f t="shared" si="26"/>
        <v>K18</v>
      </c>
      <c r="N249" s="4" t="s">
        <v>385</v>
      </c>
      <c r="O249" s="4">
        <v>331</v>
      </c>
      <c r="P249">
        <v>278</v>
      </c>
      <c r="Q249" t="s">
        <v>28</v>
      </c>
      <c r="R249" t="b">
        <f t="shared" si="27"/>
        <v>1</v>
      </c>
      <c r="S249" s="4" t="s">
        <v>628</v>
      </c>
      <c r="T249" s="3">
        <v>1711</v>
      </c>
      <c r="U249" s="4" t="s">
        <v>31</v>
      </c>
      <c r="V249" s="5">
        <v>25.837</v>
      </c>
      <c r="W249" s="5" t="s">
        <v>31</v>
      </c>
      <c r="X249" s="3" t="s">
        <v>629</v>
      </c>
      <c r="Y249" s="12" t="e">
        <f t="shared" si="28"/>
        <v>#VALUE!</v>
      </c>
      <c r="AA249" t="b">
        <f t="shared" si="29"/>
        <v>1</v>
      </c>
      <c r="AB249" s="18" t="s">
        <v>630</v>
      </c>
      <c r="AC249" s="18" t="s">
        <v>628</v>
      </c>
      <c r="AD249" s="26" t="s">
        <v>374</v>
      </c>
      <c r="AE249" s="26"/>
      <c r="AF249" s="26" t="s">
        <v>374</v>
      </c>
      <c r="AG249" s="26" t="s">
        <v>374</v>
      </c>
      <c r="AH249" s="3"/>
      <c r="AL249" s="3">
        <v>1711</v>
      </c>
      <c r="AM249" s="34" t="s">
        <v>374</v>
      </c>
      <c r="AN249" s="17"/>
      <c r="AO249" s="17"/>
      <c r="AP249" s="34"/>
      <c r="AQ249" s="3"/>
      <c r="AR249" s="3"/>
      <c r="AS249" s="4" t="s">
        <v>31</v>
      </c>
    </row>
    <row r="250" spans="1:45" x14ac:dyDescent="0.25">
      <c r="A250" s="4"/>
      <c r="B250" s="4"/>
      <c r="C250" s="4">
        <v>306</v>
      </c>
      <c r="D250" s="4" t="s">
        <v>631</v>
      </c>
      <c r="E250" s="5">
        <v>26.39</v>
      </c>
      <c r="F250" s="5" t="s">
        <v>31</v>
      </c>
      <c r="G250" s="13" t="s">
        <v>24</v>
      </c>
      <c r="H250" s="5" t="s">
        <v>31</v>
      </c>
      <c r="I250" s="4" t="s">
        <v>31</v>
      </c>
      <c r="J250" s="4"/>
      <c r="K250" s="4" t="s">
        <v>48</v>
      </c>
      <c r="L250" s="4">
        <v>18</v>
      </c>
      <c r="M250" s="4" t="str">
        <f t="shared" si="26"/>
        <v>M18</v>
      </c>
      <c r="N250" s="4" t="s">
        <v>385</v>
      </c>
      <c r="O250" s="4">
        <v>333</v>
      </c>
      <c r="P250">
        <v>279</v>
      </c>
      <c r="Q250" t="s">
        <v>28</v>
      </c>
      <c r="R250" t="b">
        <f t="shared" si="27"/>
        <v>1</v>
      </c>
      <c r="S250" s="4" t="s">
        <v>631</v>
      </c>
      <c r="T250" s="3">
        <v>1712</v>
      </c>
      <c r="U250" s="4" t="s">
        <v>31</v>
      </c>
      <c r="V250" s="5">
        <v>26.39</v>
      </c>
      <c r="W250" s="5" t="s">
        <v>31</v>
      </c>
      <c r="X250" s="3" t="s">
        <v>632</v>
      </c>
      <c r="Y250" s="12" t="e">
        <f t="shared" si="28"/>
        <v>#VALUE!</v>
      </c>
      <c r="AA250" t="b">
        <f t="shared" si="29"/>
        <v>1</v>
      </c>
      <c r="AB250" s="18" t="s">
        <v>633</v>
      </c>
      <c r="AC250" s="18" t="s">
        <v>631</v>
      </c>
      <c r="AD250" s="26" t="s">
        <v>374</v>
      </c>
      <c r="AE250" s="26"/>
      <c r="AF250" s="26" t="s">
        <v>374</v>
      </c>
      <c r="AG250" s="26" t="s">
        <v>374</v>
      </c>
      <c r="AH250" s="3"/>
      <c r="AL250" s="3">
        <v>1712</v>
      </c>
      <c r="AM250" s="34" t="s">
        <v>374</v>
      </c>
      <c r="AN250" s="17"/>
      <c r="AO250" s="17"/>
      <c r="AP250" s="34"/>
      <c r="AQ250" s="3"/>
      <c r="AR250" s="3"/>
      <c r="AS250" s="4" t="s">
        <v>31</v>
      </c>
    </row>
    <row r="251" spans="1:45" x14ac:dyDescent="0.25">
      <c r="A251" s="4"/>
      <c r="B251" s="4"/>
      <c r="C251" s="4">
        <v>19</v>
      </c>
      <c r="D251" s="4" t="s">
        <v>634</v>
      </c>
      <c r="E251" s="5">
        <v>25.780999999999999</v>
      </c>
      <c r="F251" s="5">
        <v>27.695</v>
      </c>
      <c r="G251" s="13" t="s">
        <v>24</v>
      </c>
      <c r="H251" s="5" t="s">
        <v>24</v>
      </c>
      <c r="I251" s="4" t="s">
        <v>25</v>
      </c>
      <c r="J251" s="4"/>
      <c r="K251" s="4" t="s">
        <v>26</v>
      </c>
      <c r="L251" s="4">
        <v>19</v>
      </c>
      <c r="M251" s="4" t="str">
        <f t="shared" si="26"/>
        <v>A19</v>
      </c>
      <c r="N251" s="4" t="s">
        <v>371</v>
      </c>
      <c r="O251" s="4">
        <v>241</v>
      </c>
      <c r="P251">
        <v>289</v>
      </c>
      <c r="Q251" t="s">
        <v>28</v>
      </c>
      <c r="R251" t="b">
        <f t="shared" si="27"/>
        <v>1</v>
      </c>
      <c r="S251" s="4" t="s">
        <v>634</v>
      </c>
      <c r="T251" s="3">
        <v>1713</v>
      </c>
      <c r="U251" s="4" t="s">
        <v>25</v>
      </c>
      <c r="V251" s="5">
        <v>25.780999999999999</v>
      </c>
      <c r="W251" s="5">
        <v>27.695</v>
      </c>
      <c r="X251" s="3" t="s">
        <v>635</v>
      </c>
      <c r="Y251" s="12">
        <f t="shared" si="28"/>
        <v>-1.9140000000000015</v>
      </c>
      <c r="AA251" t="b">
        <f t="shared" si="29"/>
        <v>1</v>
      </c>
      <c r="AB251" s="18" t="s">
        <v>636</v>
      </c>
      <c r="AC251" s="18" t="s">
        <v>634</v>
      </c>
      <c r="AD251" s="3">
        <v>692.54</v>
      </c>
      <c r="AE251" s="3"/>
      <c r="AF251" s="3">
        <v>674</v>
      </c>
      <c r="AG251" s="26" t="s">
        <v>374</v>
      </c>
      <c r="AH251" s="3" t="s">
        <v>19</v>
      </c>
      <c r="AL251" s="3">
        <v>1713</v>
      </c>
      <c r="AM251" s="17">
        <v>692.54</v>
      </c>
      <c r="AN251" s="40">
        <f>(AM251-122)/3</f>
        <v>190.17999999999998</v>
      </c>
      <c r="AO251" s="40">
        <f>AN251*1.0425+1.2088</f>
        <v>199.47144999999998</v>
      </c>
      <c r="AP251" s="17"/>
      <c r="AQ251" s="3"/>
      <c r="AR251" s="3"/>
      <c r="AS251" s="4" t="s">
        <v>25</v>
      </c>
    </row>
    <row r="252" spans="1:45" x14ac:dyDescent="0.25">
      <c r="A252" s="4"/>
      <c r="B252" s="4"/>
      <c r="C252" s="4">
        <v>67</v>
      </c>
      <c r="D252" s="4" t="s">
        <v>637</v>
      </c>
      <c r="E252" s="5">
        <v>24.995000000000001</v>
      </c>
      <c r="F252" s="5" t="s">
        <v>31</v>
      </c>
      <c r="G252" s="13" t="s">
        <v>24</v>
      </c>
      <c r="H252" s="5" t="s">
        <v>31</v>
      </c>
      <c r="I252" s="4" t="s">
        <v>31</v>
      </c>
      <c r="J252" s="4"/>
      <c r="K252" s="4" t="s">
        <v>32</v>
      </c>
      <c r="L252" s="4">
        <v>19</v>
      </c>
      <c r="M252" s="4" t="str">
        <f t="shared" si="26"/>
        <v>C19</v>
      </c>
      <c r="N252" s="4" t="s">
        <v>371</v>
      </c>
      <c r="O252" s="4">
        <v>243</v>
      </c>
      <c r="P252">
        <v>290</v>
      </c>
      <c r="Q252" t="s">
        <v>28</v>
      </c>
      <c r="R252" t="b">
        <f t="shared" si="27"/>
        <v>1</v>
      </c>
      <c r="S252" s="4" t="s">
        <v>637</v>
      </c>
      <c r="T252" s="3">
        <v>1714</v>
      </c>
      <c r="U252" s="4" t="s">
        <v>31</v>
      </c>
      <c r="V252" s="5">
        <v>24.995000000000001</v>
      </c>
      <c r="W252" s="5" t="s">
        <v>31</v>
      </c>
      <c r="X252" s="3" t="s">
        <v>638</v>
      </c>
      <c r="Y252" s="12" t="e">
        <f t="shared" si="28"/>
        <v>#VALUE!</v>
      </c>
      <c r="AA252" t="b">
        <f t="shared" si="29"/>
        <v>1</v>
      </c>
      <c r="AB252" s="18" t="s">
        <v>639</v>
      </c>
      <c r="AC252" s="18" t="s">
        <v>637</v>
      </c>
      <c r="AD252" s="26" t="s">
        <v>374</v>
      </c>
      <c r="AE252" s="26"/>
      <c r="AF252" s="26" t="s">
        <v>374</v>
      </c>
      <c r="AG252" s="26" t="s">
        <v>374</v>
      </c>
      <c r="AH252" s="3"/>
      <c r="AL252" s="3">
        <v>1714</v>
      </c>
      <c r="AM252" s="34" t="s">
        <v>374</v>
      </c>
      <c r="AN252" s="17"/>
      <c r="AO252" s="17"/>
      <c r="AP252" s="34"/>
      <c r="AQ252" s="3"/>
      <c r="AR252" s="3"/>
      <c r="AS252" s="4" t="s">
        <v>31</v>
      </c>
    </row>
    <row r="253" spans="1:45" x14ac:dyDescent="0.25">
      <c r="A253" s="4"/>
      <c r="B253" s="4"/>
      <c r="C253" s="4">
        <v>115</v>
      </c>
      <c r="D253" s="4" t="s">
        <v>640</v>
      </c>
      <c r="E253" s="5">
        <v>23.294</v>
      </c>
      <c r="F253" s="5" t="s">
        <v>31</v>
      </c>
      <c r="G253" s="13" t="s">
        <v>24</v>
      </c>
      <c r="H253" s="5" t="s">
        <v>31</v>
      </c>
      <c r="I253" s="4" t="s">
        <v>31</v>
      </c>
      <c r="J253" s="4"/>
      <c r="K253" s="4" t="s">
        <v>35</v>
      </c>
      <c r="L253" s="4">
        <v>19</v>
      </c>
      <c r="M253" s="4" t="str">
        <f t="shared" si="26"/>
        <v>E19</v>
      </c>
      <c r="N253" s="4" t="s">
        <v>371</v>
      </c>
      <c r="O253" s="4">
        <v>245</v>
      </c>
      <c r="P253">
        <v>291</v>
      </c>
      <c r="Q253" t="s">
        <v>28</v>
      </c>
      <c r="R253" t="b">
        <f t="shared" si="27"/>
        <v>1</v>
      </c>
      <c r="S253" s="4" t="s">
        <v>640</v>
      </c>
      <c r="T253" s="3">
        <v>1715</v>
      </c>
      <c r="U253" s="4" t="s">
        <v>31</v>
      </c>
      <c r="V253" s="5">
        <v>23.294</v>
      </c>
      <c r="W253" s="5" t="s">
        <v>31</v>
      </c>
      <c r="X253" s="3" t="s">
        <v>641</v>
      </c>
      <c r="Y253" s="12" t="e">
        <f t="shared" si="28"/>
        <v>#VALUE!</v>
      </c>
      <c r="AA253" t="b">
        <f t="shared" si="29"/>
        <v>1</v>
      </c>
      <c r="AB253" s="18" t="s">
        <v>642</v>
      </c>
      <c r="AC253" s="18" t="s">
        <v>640</v>
      </c>
      <c r="AD253" s="26" t="s">
        <v>374</v>
      </c>
      <c r="AE253" s="26"/>
      <c r="AF253" s="26" t="s">
        <v>374</v>
      </c>
      <c r="AG253" s="26" t="s">
        <v>374</v>
      </c>
      <c r="AH253" s="3"/>
      <c r="AL253" s="3">
        <v>1715</v>
      </c>
      <c r="AM253" s="34" t="s">
        <v>374</v>
      </c>
      <c r="AN253" s="17"/>
      <c r="AO253" s="17"/>
      <c r="AP253" s="34"/>
      <c r="AQ253" s="3"/>
      <c r="AR253" s="3"/>
      <c r="AS253" s="4" t="s">
        <v>31</v>
      </c>
    </row>
    <row r="254" spans="1:45" x14ac:dyDescent="0.25">
      <c r="A254" s="4"/>
      <c r="B254" s="4"/>
      <c r="C254" s="4">
        <v>163</v>
      </c>
      <c r="D254" s="4" t="s">
        <v>643</v>
      </c>
      <c r="E254" s="5">
        <v>23.434999999999999</v>
      </c>
      <c r="F254" s="5" t="s">
        <v>31</v>
      </c>
      <c r="G254" s="13" t="s">
        <v>24</v>
      </c>
      <c r="H254" s="5" t="s">
        <v>31</v>
      </c>
      <c r="I254" s="4" t="s">
        <v>31</v>
      </c>
      <c r="J254" s="4"/>
      <c r="K254" s="4" t="s">
        <v>38</v>
      </c>
      <c r="L254" s="4">
        <v>19</v>
      </c>
      <c r="M254" s="4" t="str">
        <f t="shared" si="26"/>
        <v>G19</v>
      </c>
      <c r="N254" s="4" t="s">
        <v>371</v>
      </c>
      <c r="O254" s="4">
        <v>247</v>
      </c>
      <c r="P254">
        <v>292</v>
      </c>
      <c r="Q254" t="s">
        <v>28</v>
      </c>
      <c r="R254" t="b">
        <f t="shared" si="27"/>
        <v>1</v>
      </c>
      <c r="S254" s="4" t="s">
        <v>643</v>
      </c>
      <c r="T254" s="3">
        <v>1716</v>
      </c>
      <c r="U254" s="4" t="s">
        <v>31</v>
      </c>
      <c r="V254" s="5">
        <v>23.434999999999999</v>
      </c>
      <c r="W254" s="5" t="s">
        <v>31</v>
      </c>
      <c r="X254" s="3" t="s">
        <v>644</v>
      </c>
      <c r="Y254" s="12" t="e">
        <f t="shared" si="28"/>
        <v>#VALUE!</v>
      </c>
      <c r="AA254" t="b">
        <f t="shared" si="29"/>
        <v>1</v>
      </c>
      <c r="AB254" s="18" t="s">
        <v>645</v>
      </c>
      <c r="AC254" s="18" t="s">
        <v>643</v>
      </c>
      <c r="AD254" s="26" t="s">
        <v>374</v>
      </c>
      <c r="AE254" s="26"/>
      <c r="AF254" s="26" t="s">
        <v>374</v>
      </c>
      <c r="AG254" s="26" t="s">
        <v>374</v>
      </c>
      <c r="AH254" s="3"/>
      <c r="AL254" s="3">
        <v>1716</v>
      </c>
      <c r="AM254" s="34" t="s">
        <v>374</v>
      </c>
      <c r="AN254" s="17"/>
      <c r="AO254" s="17"/>
      <c r="AP254" s="34"/>
      <c r="AQ254" s="3"/>
      <c r="AR254" s="3"/>
      <c r="AS254" s="4" t="s">
        <v>31</v>
      </c>
    </row>
    <row r="255" spans="1:45" x14ac:dyDescent="0.25">
      <c r="A255" s="4"/>
      <c r="B255" s="4"/>
      <c r="C255" s="4">
        <v>211</v>
      </c>
      <c r="D255" s="4" t="s">
        <v>646</v>
      </c>
      <c r="E255" s="5">
        <v>24.576000000000001</v>
      </c>
      <c r="F255" s="5">
        <v>26.808</v>
      </c>
      <c r="G255" s="13" t="s">
        <v>24</v>
      </c>
      <c r="H255" s="5" t="s">
        <v>24</v>
      </c>
      <c r="I255" s="4" t="s">
        <v>25</v>
      </c>
      <c r="J255" s="4"/>
      <c r="K255" s="4" t="s">
        <v>41</v>
      </c>
      <c r="L255" s="4">
        <v>19</v>
      </c>
      <c r="M255" s="4" t="str">
        <f t="shared" si="26"/>
        <v>I19</v>
      </c>
      <c r="N255" s="4" t="s">
        <v>385</v>
      </c>
      <c r="O255" s="4">
        <v>337</v>
      </c>
      <c r="P255">
        <v>293</v>
      </c>
      <c r="Q255" t="s">
        <v>28</v>
      </c>
      <c r="R255" t="b">
        <f t="shared" si="27"/>
        <v>1</v>
      </c>
      <c r="S255" s="4" t="s">
        <v>646</v>
      </c>
      <c r="T255" s="3">
        <v>1717</v>
      </c>
      <c r="U255" s="4" t="s">
        <v>25</v>
      </c>
      <c r="V255" s="5">
        <v>24.576000000000001</v>
      </c>
      <c r="W255" s="5">
        <v>26.808</v>
      </c>
      <c r="X255" s="3" t="s">
        <v>647</v>
      </c>
      <c r="Y255" s="12">
        <f t="shared" si="28"/>
        <v>-2.2319999999999993</v>
      </c>
      <c r="AA255" t="b">
        <f t="shared" si="29"/>
        <v>1</v>
      </c>
      <c r="AB255" s="18" t="s">
        <v>648</v>
      </c>
      <c r="AC255" s="18" t="s">
        <v>646</v>
      </c>
      <c r="AD255" s="26">
        <v>697.92</v>
      </c>
      <c r="AE255" s="26"/>
      <c r="AF255" s="26">
        <v>80</v>
      </c>
      <c r="AG255" s="26">
        <v>1417</v>
      </c>
      <c r="AH255" s="3"/>
      <c r="AL255" s="3">
        <v>1717</v>
      </c>
      <c r="AM255" s="34">
        <v>697.92</v>
      </c>
      <c r="AN255" s="40">
        <f>(AM255-122)/3</f>
        <v>191.97333333333333</v>
      </c>
      <c r="AO255" s="40">
        <f>AN255*1.0425+1.2088</f>
        <v>201.34099999999998</v>
      </c>
      <c r="AP255" s="34"/>
      <c r="AQ255" s="3"/>
      <c r="AR255" s="3"/>
      <c r="AS255" s="4" t="s">
        <v>25</v>
      </c>
    </row>
    <row r="256" spans="1:45" x14ac:dyDescent="0.25">
      <c r="A256" s="4"/>
      <c r="B256" s="4"/>
      <c r="C256" s="4">
        <v>259</v>
      </c>
      <c r="D256" s="4" t="s">
        <v>649</v>
      </c>
      <c r="E256" s="5">
        <v>24.827000000000002</v>
      </c>
      <c r="F256" s="5">
        <v>27.003</v>
      </c>
      <c r="G256" s="13" t="s">
        <v>24</v>
      </c>
      <c r="H256" s="5" t="s">
        <v>24</v>
      </c>
      <c r="I256" s="4" t="s">
        <v>25</v>
      </c>
      <c r="J256" s="4"/>
      <c r="K256" s="4" t="s">
        <v>45</v>
      </c>
      <c r="L256" s="4">
        <v>19</v>
      </c>
      <c r="M256" s="4" t="str">
        <f t="shared" si="26"/>
        <v>K19</v>
      </c>
      <c r="N256" s="4" t="s">
        <v>385</v>
      </c>
      <c r="O256" s="4">
        <v>339</v>
      </c>
      <c r="P256">
        <v>294</v>
      </c>
      <c r="Q256" t="s">
        <v>28</v>
      </c>
      <c r="R256" t="b">
        <f t="shared" si="27"/>
        <v>1</v>
      </c>
      <c r="S256" s="4" t="s">
        <v>649</v>
      </c>
      <c r="T256" s="3">
        <v>1718</v>
      </c>
      <c r="U256" s="4" t="s">
        <v>25</v>
      </c>
      <c r="V256" s="5">
        <v>24.827000000000002</v>
      </c>
      <c r="W256" s="5">
        <v>27.003</v>
      </c>
      <c r="X256" s="3" t="s">
        <v>650</v>
      </c>
      <c r="Y256" s="12">
        <f t="shared" si="28"/>
        <v>-2.1759999999999984</v>
      </c>
      <c r="AA256" t="b">
        <f t="shared" si="29"/>
        <v>1</v>
      </c>
      <c r="AB256" s="18" t="s">
        <v>651</v>
      </c>
      <c r="AC256" s="18" t="s">
        <v>649</v>
      </c>
      <c r="AD256" s="26">
        <v>697.77</v>
      </c>
      <c r="AE256" s="26"/>
      <c r="AF256" s="26">
        <v>86</v>
      </c>
      <c r="AG256" s="26">
        <v>1824</v>
      </c>
      <c r="AH256" s="3"/>
      <c r="AL256" s="3">
        <v>1718</v>
      </c>
      <c r="AM256" s="34">
        <v>697.77</v>
      </c>
      <c r="AN256" s="40">
        <f>(AM256-122)/3</f>
        <v>191.92333333333332</v>
      </c>
      <c r="AO256" s="40">
        <f>AN256*1.0425+1.2088</f>
        <v>201.28887499999999</v>
      </c>
      <c r="AP256" s="34"/>
      <c r="AQ256" s="3"/>
      <c r="AR256" s="3"/>
      <c r="AS256" s="4" t="s">
        <v>25</v>
      </c>
    </row>
    <row r="257" spans="1:45" x14ac:dyDescent="0.25">
      <c r="A257" s="4"/>
      <c r="B257" s="4"/>
      <c r="C257" s="4">
        <v>307</v>
      </c>
      <c r="D257" s="4" t="s">
        <v>652</v>
      </c>
      <c r="E257" s="5">
        <v>24.792000000000002</v>
      </c>
      <c r="F257" s="5">
        <v>26.968</v>
      </c>
      <c r="G257" s="13" t="s">
        <v>24</v>
      </c>
      <c r="H257" s="5" t="s">
        <v>24</v>
      </c>
      <c r="I257" s="4" t="s">
        <v>25</v>
      </c>
      <c r="J257" s="4"/>
      <c r="K257" s="4" t="s">
        <v>48</v>
      </c>
      <c r="L257" s="4">
        <v>19</v>
      </c>
      <c r="M257" s="4" t="str">
        <f t="shared" si="26"/>
        <v>M19</v>
      </c>
      <c r="N257" s="4" t="s">
        <v>385</v>
      </c>
      <c r="O257" s="4">
        <v>341</v>
      </c>
      <c r="P257">
        <v>295</v>
      </c>
      <c r="Q257" t="s">
        <v>28</v>
      </c>
      <c r="R257" t="b">
        <f t="shared" si="27"/>
        <v>1</v>
      </c>
      <c r="S257" s="4" t="s">
        <v>652</v>
      </c>
      <c r="T257" s="3">
        <v>1719</v>
      </c>
      <c r="U257" s="4" t="s">
        <v>25</v>
      </c>
      <c r="V257" s="5">
        <v>24.792000000000002</v>
      </c>
      <c r="W257" s="5">
        <v>26.968</v>
      </c>
      <c r="X257" s="3" t="s">
        <v>653</v>
      </c>
      <c r="Y257" s="12">
        <f t="shared" si="28"/>
        <v>-2.1759999999999984</v>
      </c>
      <c r="AA257" t="b">
        <f t="shared" si="29"/>
        <v>1</v>
      </c>
      <c r="AB257" s="18" t="s">
        <v>654</v>
      </c>
      <c r="AC257" s="18" t="s">
        <v>652</v>
      </c>
      <c r="AD257" s="26">
        <v>683.42</v>
      </c>
      <c r="AE257" s="26"/>
      <c r="AF257" s="26">
        <v>105</v>
      </c>
      <c r="AG257" s="26">
        <v>2292</v>
      </c>
      <c r="AH257" s="3"/>
      <c r="AL257" s="3">
        <v>1719</v>
      </c>
      <c r="AM257" s="34">
        <v>683.42</v>
      </c>
      <c r="AN257" s="40">
        <f>(AM257-122)/3</f>
        <v>187.14</v>
      </c>
      <c r="AO257" s="40">
        <f>AN257*1.0425+1.2088</f>
        <v>196.30224999999999</v>
      </c>
      <c r="AP257" s="34"/>
      <c r="AQ257" s="3"/>
      <c r="AR257" s="3"/>
      <c r="AS257" s="4" t="s">
        <v>25</v>
      </c>
    </row>
    <row r="258" spans="1:45" x14ac:dyDescent="0.25">
      <c r="A258" s="4"/>
      <c r="B258" s="4"/>
      <c r="C258" s="4">
        <v>355</v>
      </c>
      <c r="D258" s="4" t="s">
        <v>655</v>
      </c>
      <c r="E258" s="5">
        <v>24.812000000000001</v>
      </c>
      <c r="F258" s="5">
        <v>26.975999999999999</v>
      </c>
      <c r="G258" s="13" t="s">
        <v>24</v>
      </c>
      <c r="H258" s="5" t="s">
        <v>24</v>
      </c>
      <c r="I258" s="4" t="s">
        <v>25</v>
      </c>
      <c r="J258" s="4"/>
      <c r="K258" s="4" t="s">
        <v>51</v>
      </c>
      <c r="L258" s="4">
        <v>19</v>
      </c>
      <c r="M258" s="4" t="str">
        <f t="shared" ref="M258:M321" si="32">CONCATENATE(K258,L258)</f>
        <v>O19</v>
      </c>
      <c r="N258" s="4" t="s">
        <v>385</v>
      </c>
      <c r="O258" s="4">
        <v>343</v>
      </c>
      <c r="P258">
        <v>296</v>
      </c>
      <c r="Q258" t="s">
        <v>28</v>
      </c>
      <c r="R258" t="b">
        <f t="shared" ref="R258:R321" si="33">D258=S258</f>
        <v>1</v>
      </c>
      <c r="S258" s="4" t="s">
        <v>655</v>
      </c>
      <c r="T258" s="3">
        <v>1720</v>
      </c>
      <c r="U258" s="4" t="s">
        <v>25</v>
      </c>
      <c r="V258" s="5">
        <v>24.812000000000001</v>
      </c>
      <c r="W258" s="5">
        <v>26.975999999999999</v>
      </c>
      <c r="X258" s="3" t="s">
        <v>656</v>
      </c>
      <c r="Y258" s="12">
        <f t="shared" ref="Y258:Y321" si="34">V258-W258</f>
        <v>-2.1639999999999979</v>
      </c>
      <c r="AA258" t="b">
        <f t="shared" ref="AA258:AA321" si="35">S258=AC258</f>
        <v>1</v>
      </c>
      <c r="AB258" s="18" t="s">
        <v>657</v>
      </c>
      <c r="AC258" s="18" t="s">
        <v>655</v>
      </c>
      <c r="AD258" s="26">
        <v>697.34</v>
      </c>
      <c r="AE258" s="26"/>
      <c r="AF258" s="26">
        <v>79</v>
      </c>
      <c r="AG258" s="26">
        <v>1739</v>
      </c>
      <c r="AH258" s="3"/>
      <c r="AL258" s="3">
        <v>1720</v>
      </c>
      <c r="AM258" s="34">
        <v>697.34</v>
      </c>
      <c r="AN258" s="40">
        <f>(AM258-122)/3</f>
        <v>191.78</v>
      </c>
      <c r="AO258" s="40">
        <f>AN258*1.0425+1.2088</f>
        <v>201.13944999999998</v>
      </c>
      <c r="AP258" s="34"/>
      <c r="AQ258" s="3"/>
      <c r="AR258" s="3"/>
      <c r="AS258" s="4" t="s">
        <v>25</v>
      </c>
    </row>
    <row r="259" spans="1:45" x14ac:dyDescent="0.25">
      <c r="A259" s="4"/>
      <c r="B259" s="4"/>
      <c r="C259" s="4">
        <v>43</v>
      </c>
      <c r="D259" s="4" t="s">
        <v>658</v>
      </c>
      <c r="E259" s="5">
        <v>24.35</v>
      </c>
      <c r="F259" s="5" t="s">
        <v>31</v>
      </c>
      <c r="G259" s="13" t="s">
        <v>24</v>
      </c>
      <c r="H259" s="5" t="s">
        <v>31</v>
      </c>
      <c r="I259" s="4" t="s">
        <v>31</v>
      </c>
      <c r="J259" s="4"/>
      <c r="K259" s="4" t="s">
        <v>54</v>
      </c>
      <c r="L259" s="4">
        <v>19</v>
      </c>
      <c r="M259" s="4" t="str">
        <f t="shared" si="32"/>
        <v>B19</v>
      </c>
      <c r="N259" s="4" t="s">
        <v>371</v>
      </c>
      <c r="O259" s="4">
        <v>242</v>
      </c>
      <c r="P259">
        <v>297</v>
      </c>
      <c r="Q259" t="s">
        <v>28</v>
      </c>
      <c r="R259" t="b">
        <f t="shared" si="33"/>
        <v>1</v>
      </c>
      <c r="S259" s="4" t="s">
        <v>658</v>
      </c>
      <c r="T259" s="3">
        <v>1721</v>
      </c>
      <c r="U259" s="4" t="s">
        <v>31</v>
      </c>
      <c r="V259" s="5">
        <v>24.35</v>
      </c>
      <c r="W259" s="5" t="s">
        <v>31</v>
      </c>
      <c r="X259" s="3" t="s">
        <v>659</v>
      </c>
      <c r="Y259" s="12" t="e">
        <f t="shared" si="34"/>
        <v>#VALUE!</v>
      </c>
      <c r="AA259" t="b">
        <f t="shared" si="35"/>
        <v>1</v>
      </c>
      <c r="AB259" s="18" t="s">
        <v>660</v>
      </c>
      <c r="AC259" s="18" t="s">
        <v>658</v>
      </c>
      <c r="AD259" s="26" t="s">
        <v>374</v>
      </c>
      <c r="AE259" s="26"/>
      <c r="AF259" s="26" t="s">
        <v>374</v>
      </c>
      <c r="AG259" s="26" t="s">
        <v>374</v>
      </c>
      <c r="AH259" s="3"/>
      <c r="AL259" s="3">
        <v>1721</v>
      </c>
      <c r="AM259" s="34" t="s">
        <v>374</v>
      </c>
      <c r="AN259" s="17"/>
      <c r="AO259" s="17"/>
      <c r="AP259" s="34"/>
      <c r="AQ259" s="3"/>
      <c r="AR259" s="3"/>
      <c r="AS259" s="4" t="s">
        <v>31</v>
      </c>
    </row>
    <row r="260" spans="1:45" x14ac:dyDescent="0.25">
      <c r="A260" s="4"/>
      <c r="B260" s="4"/>
      <c r="C260" s="4">
        <v>91</v>
      </c>
      <c r="D260" s="4" t="s">
        <v>661</v>
      </c>
      <c r="E260" s="5">
        <v>24.193000000000001</v>
      </c>
      <c r="F260" s="5" t="s">
        <v>31</v>
      </c>
      <c r="G260" s="13" t="s">
        <v>24</v>
      </c>
      <c r="H260" s="5" t="s">
        <v>31</v>
      </c>
      <c r="I260" s="4" t="s">
        <v>31</v>
      </c>
      <c r="J260" s="4"/>
      <c r="K260" s="4" t="s">
        <v>57</v>
      </c>
      <c r="L260" s="4">
        <v>19</v>
      </c>
      <c r="M260" s="4" t="str">
        <f t="shared" si="32"/>
        <v>D19</v>
      </c>
      <c r="N260" s="4" t="s">
        <v>371</v>
      </c>
      <c r="O260" s="4">
        <v>244</v>
      </c>
      <c r="P260">
        <v>298</v>
      </c>
      <c r="Q260" t="s">
        <v>28</v>
      </c>
      <c r="R260" t="b">
        <f t="shared" si="33"/>
        <v>1</v>
      </c>
      <c r="S260" s="4" t="s">
        <v>661</v>
      </c>
      <c r="T260" s="3">
        <v>1722</v>
      </c>
      <c r="U260" s="4" t="s">
        <v>31</v>
      </c>
      <c r="V260" s="5">
        <v>24.193000000000001</v>
      </c>
      <c r="W260" s="5" t="s">
        <v>31</v>
      </c>
      <c r="X260" s="3" t="s">
        <v>662</v>
      </c>
      <c r="Y260" s="12" t="e">
        <f t="shared" si="34"/>
        <v>#VALUE!</v>
      </c>
      <c r="AA260" t="b">
        <f t="shared" si="35"/>
        <v>1</v>
      </c>
      <c r="AB260" s="18" t="s">
        <v>663</v>
      </c>
      <c r="AC260" s="18" t="s">
        <v>661</v>
      </c>
      <c r="AD260" s="26" t="s">
        <v>374</v>
      </c>
      <c r="AE260" s="26"/>
      <c r="AF260" s="26" t="s">
        <v>374</v>
      </c>
      <c r="AG260" s="26" t="s">
        <v>374</v>
      </c>
      <c r="AH260" s="3"/>
      <c r="AL260" s="3">
        <v>1722</v>
      </c>
      <c r="AM260" s="34" t="s">
        <v>374</v>
      </c>
      <c r="AN260" s="17"/>
      <c r="AO260" s="17"/>
      <c r="AP260" s="34"/>
      <c r="AQ260" s="3"/>
      <c r="AR260" s="3"/>
      <c r="AS260" s="4" t="s">
        <v>31</v>
      </c>
    </row>
    <row r="261" spans="1:45" x14ac:dyDescent="0.25">
      <c r="A261" s="4"/>
      <c r="B261" s="4"/>
      <c r="C261" s="4">
        <v>139</v>
      </c>
      <c r="D261" s="4" t="s">
        <v>664</v>
      </c>
      <c r="E261" s="5">
        <v>23.792000000000002</v>
      </c>
      <c r="F261" s="5" t="s">
        <v>31</v>
      </c>
      <c r="G261" s="13" t="s">
        <v>24</v>
      </c>
      <c r="H261" s="5" t="s">
        <v>31</v>
      </c>
      <c r="I261" s="4" t="s">
        <v>31</v>
      </c>
      <c r="J261" s="4"/>
      <c r="K261" s="4" t="s">
        <v>60</v>
      </c>
      <c r="L261" s="4">
        <v>19</v>
      </c>
      <c r="M261" s="4" t="str">
        <f t="shared" si="32"/>
        <v>F19</v>
      </c>
      <c r="N261" s="4" t="s">
        <v>371</v>
      </c>
      <c r="O261" s="4">
        <v>246</v>
      </c>
      <c r="P261">
        <v>299</v>
      </c>
      <c r="Q261" t="s">
        <v>28</v>
      </c>
      <c r="R261" t="b">
        <f t="shared" si="33"/>
        <v>1</v>
      </c>
      <c r="S261" s="4" t="s">
        <v>664</v>
      </c>
      <c r="T261" s="3">
        <v>1723</v>
      </c>
      <c r="U261" s="4" t="s">
        <v>31</v>
      </c>
      <c r="V261" s="5">
        <v>23.792000000000002</v>
      </c>
      <c r="W261" s="5" t="s">
        <v>31</v>
      </c>
      <c r="X261" s="3" t="s">
        <v>665</v>
      </c>
      <c r="Y261" s="12" t="e">
        <f t="shared" si="34"/>
        <v>#VALUE!</v>
      </c>
      <c r="AA261" t="b">
        <f t="shared" si="35"/>
        <v>1</v>
      </c>
      <c r="AB261" s="18" t="s">
        <v>666</v>
      </c>
      <c r="AC261" s="18" t="s">
        <v>664</v>
      </c>
      <c r="AD261" s="26"/>
      <c r="AE261" s="26"/>
      <c r="AF261" s="26"/>
      <c r="AG261" s="26"/>
      <c r="AH261" s="3"/>
      <c r="AL261" s="3">
        <v>1723</v>
      </c>
      <c r="AM261" s="34"/>
      <c r="AN261" s="17"/>
      <c r="AO261" s="17"/>
      <c r="AP261" s="34"/>
      <c r="AQ261" s="3"/>
      <c r="AR261" s="3"/>
      <c r="AS261" s="4" t="s">
        <v>31</v>
      </c>
    </row>
    <row r="262" spans="1:45" x14ac:dyDescent="0.25">
      <c r="A262" s="4"/>
      <c r="B262" s="4"/>
      <c r="C262" s="4">
        <v>187</v>
      </c>
      <c r="D262" s="4" t="s">
        <v>667</v>
      </c>
      <c r="E262" s="5">
        <v>24.234000000000002</v>
      </c>
      <c r="F262" s="5" t="s">
        <v>31</v>
      </c>
      <c r="G262" s="13" t="s">
        <v>24</v>
      </c>
      <c r="H262" s="5" t="s">
        <v>31</v>
      </c>
      <c r="I262" s="4" t="s">
        <v>31</v>
      </c>
      <c r="J262" s="4"/>
      <c r="K262" s="4" t="s">
        <v>64</v>
      </c>
      <c r="L262" s="4">
        <v>19</v>
      </c>
      <c r="M262" s="4" t="str">
        <f t="shared" si="32"/>
        <v>H19</v>
      </c>
      <c r="N262" s="4" t="s">
        <v>371</v>
      </c>
      <c r="O262" s="4">
        <v>248</v>
      </c>
      <c r="P262">
        <v>300</v>
      </c>
      <c r="Q262" t="s">
        <v>28</v>
      </c>
      <c r="R262" t="b">
        <f t="shared" si="33"/>
        <v>1</v>
      </c>
      <c r="S262" s="4" t="s">
        <v>667</v>
      </c>
      <c r="T262" s="3">
        <v>1724</v>
      </c>
      <c r="U262" s="4" t="s">
        <v>31</v>
      </c>
      <c r="V262" s="5">
        <v>24.234000000000002</v>
      </c>
      <c r="W262" s="5" t="s">
        <v>31</v>
      </c>
      <c r="X262" s="3" t="s">
        <v>668</v>
      </c>
      <c r="Y262" s="12" t="e">
        <f t="shared" si="34"/>
        <v>#VALUE!</v>
      </c>
      <c r="AA262" t="b">
        <f t="shared" si="35"/>
        <v>1</v>
      </c>
      <c r="AB262" s="18" t="s">
        <v>669</v>
      </c>
      <c r="AC262" s="18" t="s">
        <v>667</v>
      </c>
      <c r="AD262" s="26" t="s">
        <v>374</v>
      </c>
      <c r="AE262" s="26"/>
      <c r="AF262" s="26" t="s">
        <v>374</v>
      </c>
      <c r="AG262" s="26" t="s">
        <v>374</v>
      </c>
      <c r="AH262" s="3"/>
      <c r="AL262" s="3">
        <v>1724</v>
      </c>
      <c r="AM262" s="34" t="s">
        <v>374</v>
      </c>
      <c r="AN262" s="17"/>
      <c r="AO262" s="17"/>
      <c r="AP262" s="34"/>
      <c r="AQ262" s="3"/>
      <c r="AR262" s="3"/>
      <c r="AS262" s="4" t="s">
        <v>31</v>
      </c>
    </row>
    <row r="263" spans="1:45" x14ac:dyDescent="0.25">
      <c r="A263" s="4"/>
      <c r="B263" s="4"/>
      <c r="C263" s="4">
        <v>235</v>
      </c>
      <c r="D263" s="4" t="s">
        <v>670</v>
      </c>
      <c r="E263" s="5">
        <v>23.925999999999998</v>
      </c>
      <c r="F263" s="5" t="s">
        <v>31</v>
      </c>
      <c r="G263" s="13" t="s">
        <v>24</v>
      </c>
      <c r="H263" s="5" t="s">
        <v>31</v>
      </c>
      <c r="I263" s="4" t="s">
        <v>31</v>
      </c>
      <c r="J263" s="4"/>
      <c r="K263" s="4" t="s">
        <v>67</v>
      </c>
      <c r="L263" s="4">
        <v>19</v>
      </c>
      <c r="M263" s="4" t="str">
        <f t="shared" si="32"/>
        <v>J19</v>
      </c>
      <c r="N263" s="4" t="s">
        <v>385</v>
      </c>
      <c r="O263" s="4">
        <v>338</v>
      </c>
      <c r="P263">
        <v>301</v>
      </c>
      <c r="Q263" t="s">
        <v>28</v>
      </c>
      <c r="R263" t="b">
        <f t="shared" si="33"/>
        <v>1</v>
      </c>
      <c r="S263" s="4" t="s">
        <v>670</v>
      </c>
      <c r="T263" s="3">
        <v>1725</v>
      </c>
      <c r="U263" s="4" t="s">
        <v>31</v>
      </c>
      <c r="V263" s="5">
        <v>23.925999999999998</v>
      </c>
      <c r="W263" s="5" t="s">
        <v>31</v>
      </c>
      <c r="X263" s="3" t="s">
        <v>671</v>
      </c>
      <c r="Y263" s="12" t="e">
        <f t="shared" si="34"/>
        <v>#VALUE!</v>
      </c>
      <c r="AA263" t="b">
        <f t="shared" si="35"/>
        <v>1</v>
      </c>
      <c r="AB263" s="18" t="s">
        <v>672</v>
      </c>
      <c r="AC263" s="18" t="s">
        <v>670</v>
      </c>
      <c r="AD263" s="26"/>
      <c r="AE263" s="26"/>
      <c r="AF263" s="26"/>
      <c r="AG263" s="26"/>
      <c r="AH263" s="3"/>
      <c r="AL263" s="3">
        <v>1725</v>
      </c>
      <c r="AM263" s="34"/>
      <c r="AN263" s="17"/>
      <c r="AO263" s="17"/>
      <c r="AP263" s="34"/>
      <c r="AQ263" s="3"/>
      <c r="AR263" s="3"/>
      <c r="AS263" s="4" t="s">
        <v>31</v>
      </c>
    </row>
    <row r="264" spans="1:45" x14ac:dyDescent="0.25">
      <c r="A264" s="4"/>
      <c r="B264" s="4"/>
      <c r="C264" s="4">
        <v>283</v>
      </c>
      <c r="D264" s="4" t="s">
        <v>673</v>
      </c>
      <c r="E264" s="5">
        <v>26.036000000000001</v>
      </c>
      <c r="F264" s="5">
        <v>28.012</v>
      </c>
      <c r="G264" s="13" t="s">
        <v>24</v>
      </c>
      <c r="H264" s="5" t="s">
        <v>24</v>
      </c>
      <c r="I264" s="4" t="s">
        <v>25</v>
      </c>
      <c r="J264" s="4"/>
      <c r="K264" s="4" t="s">
        <v>70</v>
      </c>
      <c r="L264" s="4">
        <v>19</v>
      </c>
      <c r="M264" s="4" t="str">
        <f t="shared" si="32"/>
        <v>L19</v>
      </c>
      <c r="N264" s="4" t="s">
        <v>385</v>
      </c>
      <c r="O264" s="4">
        <v>340</v>
      </c>
      <c r="P264">
        <v>302</v>
      </c>
      <c r="Q264" t="s">
        <v>28</v>
      </c>
      <c r="R264" t="b">
        <f t="shared" si="33"/>
        <v>1</v>
      </c>
      <c r="S264" s="4" t="s">
        <v>673</v>
      </c>
      <c r="T264" s="3">
        <v>1726</v>
      </c>
      <c r="U264" s="4" t="s">
        <v>25</v>
      </c>
      <c r="V264" s="5">
        <v>26.036000000000001</v>
      </c>
      <c r="W264" s="5">
        <v>28.012</v>
      </c>
      <c r="X264" s="3" t="s">
        <v>674</v>
      </c>
      <c r="Y264" s="12">
        <f t="shared" si="34"/>
        <v>-1.9759999999999991</v>
      </c>
      <c r="AA264" t="b">
        <f t="shared" si="35"/>
        <v>1</v>
      </c>
      <c r="AB264" s="18" t="s">
        <v>675</v>
      </c>
      <c r="AC264" s="18" t="s">
        <v>673</v>
      </c>
      <c r="AD264" s="26">
        <v>715.49</v>
      </c>
      <c r="AE264" s="26"/>
      <c r="AF264" s="26">
        <v>70</v>
      </c>
      <c r="AG264" s="26">
        <v>1495</v>
      </c>
      <c r="AH264" s="3"/>
      <c r="AL264" s="3">
        <v>1726</v>
      </c>
      <c r="AM264" s="34">
        <v>715.49</v>
      </c>
      <c r="AN264" s="40">
        <f>(AM264-122)/3</f>
        <v>197.83</v>
      </c>
      <c r="AO264" s="40">
        <f>AN264*1.0425+1.2088</f>
        <v>207.446575</v>
      </c>
      <c r="AP264" s="34"/>
      <c r="AQ264" s="3"/>
      <c r="AR264" s="3"/>
      <c r="AS264" s="4" t="s">
        <v>25</v>
      </c>
    </row>
    <row r="265" spans="1:45" x14ac:dyDescent="0.25">
      <c r="A265" s="4"/>
      <c r="B265" s="4"/>
      <c r="C265" s="4">
        <v>331</v>
      </c>
      <c r="D265" s="4" t="s">
        <v>676</v>
      </c>
      <c r="E265" s="5">
        <v>24.946999999999999</v>
      </c>
      <c r="F265" s="5" t="s">
        <v>31</v>
      </c>
      <c r="G265" s="13" t="s">
        <v>24</v>
      </c>
      <c r="H265" s="5" t="s">
        <v>31</v>
      </c>
      <c r="I265" s="4" t="s">
        <v>31</v>
      </c>
      <c r="J265" s="4"/>
      <c r="K265" s="4" t="s">
        <v>73</v>
      </c>
      <c r="L265" s="4">
        <v>19</v>
      </c>
      <c r="M265" s="4" t="str">
        <f t="shared" si="32"/>
        <v>N19</v>
      </c>
      <c r="N265" s="4" t="s">
        <v>385</v>
      </c>
      <c r="O265" s="4">
        <v>342</v>
      </c>
      <c r="P265">
        <v>303</v>
      </c>
      <c r="Q265" t="s">
        <v>28</v>
      </c>
      <c r="R265" t="b">
        <f t="shared" si="33"/>
        <v>1</v>
      </c>
      <c r="S265" s="4" t="s">
        <v>676</v>
      </c>
      <c r="T265" s="3">
        <v>1727</v>
      </c>
      <c r="U265" s="4" t="s">
        <v>31</v>
      </c>
      <c r="V265" s="5">
        <v>24.946999999999999</v>
      </c>
      <c r="W265" s="5" t="s">
        <v>31</v>
      </c>
      <c r="X265" s="3" t="s">
        <v>677</v>
      </c>
      <c r="Y265" s="12" t="e">
        <f t="shared" si="34"/>
        <v>#VALUE!</v>
      </c>
      <c r="AA265" t="b">
        <f t="shared" si="35"/>
        <v>1</v>
      </c>
      <c r="AB265" s="18" t="s">
        <v>678</v>
      </c>
      <c r="AC265" s="18" t="s">
        <v>676</v>
      </c>
      <c r="AD265" s="26" t="s">
        <v>374</v>
      </c>
      <c r="AE265" s="26"/>
      <c r="AF265" s="26" t="s">
        <v>374</v>
      </c>
      <c r="AG265" s="26" t="s">
        <v>374</v>
      </c>
      <c r="AH265" s="3"/>
      <c r="AL265" s="3">
        <v>1727</v>
      </c>
      <c r="AM265" s="34" t="s">
        <v>374</v>
      </c>
      <c r="AN265" s="17"/>
      <c r="AO265" s="17"/>
      <c r="AP265" s="34"/>
      <c r="AQ265" s="3"/>
      <c r="AR265" s="3"/>
      <c r="AS265" s="4" t="s">
        <v>31</v>
      </c>
    </row>
    <row r="266" spans="1:45" x14ac:dyDescent="0.25">
      <c r="A266" s="4"/>
      <c r="B266" s="4"/>
      <c r="C266" s="4">
        <v>379</v>
      </c>
      <c r="D266" s="4" t="s">
        <v>679</v>
      </c>
      <c r="E266" s="5">
        <v>23.954000000000001</v>
      </c>
      <c r="F266" s="5" t="s">
        <v>31</v>
      </c>
      <c r="G266" s="13" t="s">
        <v>24</v>
      </c>
      <c r="H266" s="5" t="s">
        <v>31</v>
      </c>
      <c r="I266" s="4" t="s">
        <v>31</v>
      </c>
      <c r="J266" s="4"/>
      <c r="K266" s="4" t="s">
        <v>76</v>
      </c>
      <c r="L266" s="4">
        <v>19</v>
      </c>
      <c r="M266" s="4" t="str">
        <f t="shared" si="32"/>
        <v>P19</v>
      </c>
      <c r="N266" s="4" t="s">
        <v>385</v>
      </c>
      <c r="O266" s="4">
        <v>344</v>
      </c>
      <c r="P266">
        <v>304</v>
      </c>
      <c r="Q266" t="s">
        <v>28</v>
      </c>
      <c r="R266" t="b">
        <f t="shared" si="33"/>
        <v>1</v>
      </c>
      <c r="S266" s="4" t="s">
        <v>679</v>
      </c>
      <c r="T266" s="3">
        <v>1728</v>
      </c>
      <c r="U266" s="4" t="s">
        <v>31</v>
      </c>
      <c r="V266" s="5">
        <v>23.954000000000001</v>
      </c>
      <c r="W266" s="5" t="s">
        <v>31</v>
      </c>
      <c r="X266" s="3" t="s">
        <v>680</v>
      </c>
      <c r="Y266" s="12" t="e">
        <f t="shared" si="34"/>
        <v>#VALUE!</v>
      </c>
      <c r="AA266" t="b">
        <f t="shared" si="35"/>
        <v>1</v>
      </c>
      <c r="AB266" s="18" t="s">
        <v>681</v>
      </c>
      <c r="AC266" s="18" t="s">
        <v>679</v>
      </c>
      <c r="AD266" s="26" t="s">
        <v>374</v>
      </c>
      <c r="AE266" s="26"/>
      <c r="AF266" s="26" t="s">
        <v>374</v>
      </c>
      <c r="AG266" s="26" t="s">
        <v>374</v>
      </c>
      <c r="AH266" s="3"/>
      <c r="AL266" s="3">
        <v>1728</v>
      </c>
      <c r="AM266" s="34" t="s">
        <v>374</v>
      </c>
      <c r="AN266" s="17"/>
      <c r="AO266" s="17"/>
      <c r="AP266" s="34"/>
      <c r="AQ266" s="3"/>
      <c r="AR266" s="3"/>
      <c r="AS266" s="4" t="s">
        <v>31</v>
      </c>
    </row>
    <row r="267" spans="1:45" x14ac:dyDescent="0.25">
      <c r="A267" s="4"/>
      <c r="B267" s="4"/>
      <c r="C267" s="4">
        <v>20</v>
      </c>
      <c r="D267" s="4" t="s">
        <v>682</v>
      </c>
      <c r="E267" s="5">
        <v>23.419</v>
      </c>
      <c r="F267" s="5" t="s">
        <v>31</v>
      </c>
      <c r="G267" s="13" t="s">
        <v>24</v>
      </c>
      <c r="H267" s="5" t="s">
        <v>31</v>
      </c>
      <c r="I267" s="4" t="s">
        <v>31</v>
      </c>
      <c r="J267" s="4"/>
      <c r="K267" s="4" t="s">
        <v>26</v>
      </c>
      <c r="L267" s="4">
        <v>20</v>
      </c>
      <c r="M267" s="4" t="str">
        <f t="shared" si="32"/>
        <v>A20</v>
      </c>
      <c r="N267" s="4" t="s">
        <v>371</v>
      </c>
      <c r="O267" s="4">
        <v>249</v>
      </c>
      <c r="P267">
        <v>305</v>
      </c>
      <c r="Q267" t="s">
        <v>28</v>
      </c>
      <c r="R267" t="b">
        <f t="shared" si="33"/>
        <v>1</v>
      </c>
      <c r="S267" s="4" t="s">
        <v>682</v>
      </c>
      <c r="T267" s="3">
        <v>1729</v>
      </c>
      <c r="U267" s="4" t="s">
        <v>31</v>
      </c>
      <c r="V267" s="5">
        <v>23.419</v>
      </c>
      <c r="W267" s="5" t="s">
        <v>31</v>
      </c>
      <c r="X267" s="3" t="s">
        <v>683</v>
      </c>
      <c r="Y267" s="12" t="e">
        <f t="shared" si="34"/>
        <v>#VALUE!</v>
      </c>
      <c r="AA267" t="b">
        <f t="shared" si="35"/>
        <v>1</v>
      </c>
      <c r="AB267" s="18" t="s">
        <v>684</v>
      </c>
      <c r="AC267" s="18" t="s">
        <v>682</v>
      </c>
      <c r="AD267" s="26" t="s">
        <v>374</v>
      </c>
      <c r="AE267" s="26"/>
      <c r="AF267" s="26" t="s">
        <v>374</v>
      </c>
      <c r="AG267" s="26" t="s">
        <v>374</v>
      </c>
      <c r="AH267" s="3"/>
      <c r="AL267" s="3">
        <v>1729</v>
      </c>
      <c r="AM267" s="34" t="s">
        <v>374</v>
      </c>
      <c r="AN267" s="17"/>
      <c r="AO267" s="17"/>
      <c r="AP267" s="34"/>
      <c r="AQ267" s="3"/>
      <c r="AR267" s="3"/>
      <c r="AS267" s="4" t="s">
        <v>31</v>
      </c>
    </row>
    <row r="268" spans="1:45" x14ac:dyDescent="0.25">
      <c r="A268" s="4"/>
      <c r="B268" s="4"/>
      <c r="C268" s="4">
        <v>68</v>
      </c>
      <c r="D268" s="4" t="s">
        <v>685</v>
      </c>
      <c r="E268" s="5">
        <v>24.007000000000001</v>
      </c>
      <c r="F268" s="5" t="s">
        <v>31</v>
      </c>
      <c r="G268" s="13" t="s">
        <v>24</v>
      </c>
      <c r="H268" s="5" t="s">
        <v>31</v>
      </c>
      <c r="I268" s="4" t="s">
        <v>31</v>
      </c>
      <c r="J268" s="4"/>
      <c r="K268" s="4" t="s">
        <v>32</v>
      </c>
      <c r="L268" s="4">
        <v>20</v>
      </c>
      <c r="M268" s="4" t="str">
        <f t="shared" si="32"/>
        <v>C20</v>
      </c>
      <c r="N268" s="4" t="s">
        <v>371</v>
      </c>
      <c r="O268" s="4">
        <v>251</v>
      </c>
      <c r="P268">
        <v>306</v>
      </c>
      <c r="Q268" t="s">
        <v>28</v>
      </c>
      <c r="R268" t="b">
        <f t="shared" si="33"/>
        <v>1</v>
      </c>
      <c r="S268" s="4" t="s">
        <v>685</v>
      </c>
      <c r="T268" s="3">
        <v>1730</v>
      </c>
      <c r="U268" s="4" t="s">
        <v>31</v>
      </c>
      <c r="V268" s="5">
        <v>24.007000000000001</v>
      </c>
      <c r="W268" s="5" t="s">
        <v>31</v>
      </c>
      <c r="X268" s="3" t="s">
        <v>686</v>
      </c>
      <c r="Y268" s="12" t="e">
        <f t="shared" si="34"/>
        <v>#VALUE!</v>
      </c>
      <c r="AA268" t="b">
        <f t="shared" si="35"/>
        <v>1</v>
      </c>
      <c r="AB268" s="18" t="s">
        <v>687</v>
      </c>
      <c r="AC268" s="18" t="s">
        <v>685</v>
      </c>
      <c r="AD268" s="26" t="s">
        <v>374</v>
      </c>
      <c r="AE268" s="26"/>
      <c r="AF268" s="26" t="s">
        <v>374</v>
      </c>
      <c r="AG268" s="26" t="s">
        <v>374</v>
      </c>
      <c r="AH268" s="3"/>
      <c r="AL268" s="3">
        <v>1730</v>
      </c>
      <c r="AM268" s="34" t="s">
        <v>374</v>
      </c>
      <c r="AN268" s="17"/>
      <c r="AO268" s="17"/>
      <c r="AP268" s="34"/>
      <c r="AQ268" s="3"/>
      <c r="AR268" s="3"/>
      <c r="AS268" s="4" t="s">
        <v>31</v>
      </c>
    </row>
    <row r="269" spans="1:45" x14ac:dyDescent="0.25">
      <c r="A269" s="4"/>
      <c r="B269" s="4"/>
      <c r="C269" s="4">
        <v>116</v>
      </c>
      <c r="D269" s="4" t="s">
        <v>688</v>
      </c>
      <c r="E269" s="5">
        <v>25.475000000000001</v>
      </c>
      <c r="F269" s="5" t="s">
        <v>31</v>
      </c>
      <c r="G269" s="13" t="s">
        <v>24</v>
      </c>
      <c r="H269" s="5" t="s">
        <v>31</v>
      </c>
      <c r="I269" s="4" t="s">
        <v>31</v>
      </c>
      <c r="J269" s="4"/>
      <c r="K269" s="4" t="s">
        <v>35</v>
      </c>
      <c r="L269" s="4">
        <v>20</v>
      </c>
      <c r="M269" s="4" t="str">
        <f t="shared" si="32"/>
        <v>E20</v>
      </c>
      <c r="N269" s="4" t="s">
        <v>371</v>
      </c>
      <c r="O269" s="4">
        <v>253</v>
      </c>
      <c r="P269">
        <v>307</v>
      </c>
      <c r="Q269" t="s">
        <v>28</v>
      </c>
      <c r="R269" t="b">
        <f t="shared" si="33"/>
        <v>1</v>
      </c>
      <c r="S269" s="4" t="s">
        <v>688</v>
      </c>
      <c r="T269" s="3">
        <v>1731</v>
      </c>
      <c r="U269" s="4" t="s">
        <v>31</v>
      </c>
      <c r="V269" s="5">
        <v>25.475000000000001</v>
      </c>
      <c r="W269" s="5" t="s">
        <v>31</v>
      </c>
      <c r="X269" s="3" t="s">
        <v>689</v>
      </c>
      <c r="Y269" s="12" t="e">
        <f t="shared" si="34"/>
        <v>#VALUE!</v>
      </c>
      <c r="AA269" t="b">
        <f t="shared" si="35"/>
        <v>1</v>
      </c>
      <c r="AB269" s="18" t="s">
        <v>690</v>
      </c>
      <c r="AC269" s="18" t="s">
        <v>688</v>
      </c>
      <c r="AD269" s="26" t="s">
        <v>374</v>
      </c>
      <c r="AE269" s="26"/>
      <c r="AF269" s="26" t="s">
        <v>374</v>
      </c>
      <c r="AG269" s="26" t="s">
        <v>374</v>
      </c>
      <c r="AH269" s="3"/>
      <c r="AL269" s="3">
        <v>1731</v>
      </c>
      <c r="AM269" s="34" t="s">
        <v>374</v>
      </c>
      <c r="AN269" s="17"/>
      <c r="AO269" s="17"/>
      <c r="AP269" s="34"/>
      <c r="AQ269" s="3"/>
      <c r="AR269" s="3"/>
      <c r="AS269" s="4" t="s">
        <v>31</v>
      </c>
    </row>
    <row r="270" spans="1:45" x14ac:dyDescent="0.25">
      <c r="A270" s="4"/>
      <c r="B270" s="4"/>
      <c r="C270" s="4">
        <v>164</v>
      </c>
      <c r="D270" s="4" t="s">
        <v>691</v>
      </c>
      <c r="E270" s="5">
        <v>23.594000000000001</v>
      </c>
      <c r="F270" s="5" t="s">
        <v>31</v>
      </c>
      <c r="G270" s="13" t="s">
        <v>24</v>
      </c>
      <c r="H270" s="5" t="s">
        <v>31</v>
      </c>
      <c r="I270" s="4" t="s">
        <v>31</v>
      </c>
      <c r="J270" s="4"/>
      <c r="K270" s="4" t="s">
        <v>38</v>
      </c>
      <c r="L270" s="4">
        <v>20</v>
      </c>
      <c r="M270" s="4" t="str">
        <f t="shared" si="32"/>
        <v>G20</v>
      </c>
      <c r="N270" s="4" t="s">
        <v>371</v>
      </c>
      <c r="O270" s="4">
        <v>255</v>
      </c>
      <c r="P270">
        <v>308</v>
      </c>
      <c r="Q270" t="s">
        <v>28</v>
      </c>
      <c r="R270" t="b">
        <f t="shared" si="33"/>
        <v>1</v>
      </c>
      <c r="S270" s="4" t="s">
        <v>691</v>
      </c>
      <c r="T270" s="3">
        <v>1732</v>
      </c>
      <c r="U270" s="4" t="s">
        <v>31</v>
      </c>
      <c r="V270" s="5">
        <v>23.594000000000001</v>
      </c>
      <c r="W270" s="5" t="s">
        <v>31</v>
      </c>
      <c r="X270" s="3" t="s">
        <v>692</v>
      </c>
      <c r="Y270" s="12" t="e">
        <f t="shared" si="34"/>
        <v>#VALUE!</v>
      </c>
      <c r="AA270" t="b">
        <f t="shared" si="35"/>
        <v>1</v>
      </c>
      <c r="AB270" s="18" t="s">
        <v>693</v>
      </c>
      <c r="AC270" s="18" t="s">
        <v>691</v>
      </c>
      <c r="AD270" s="26" t="s">
        <v>374</v>
      </c>
      <c r="AE270" s="26"/>
      <c r="AF270" s="26" t="s">
        <v>374</v>
      </c>
      <c r="AG270" s="26" t="s">
        <v>374</v>
      </c>
      <c r="AH270" s="3"/>
      <c r="AL270" s="3">
        <v>1732</v>
      </c>
      <c r="AM270" s="34" t="s">
        <v>374</v>
      </c>
      <c r="AN270" s="17"/>
      <c r="AO270" s="17"/>
      <c r="AP270" s="34"/>
      <c r="AQ270" s="3"/>
      <c r="AR270" s="3"/>
      <c r="AS270" s="4" t="s">
        <v>31</v>
      </c>
    </row>
    <row r="271" spans="1:45" x14ac:dyDescent="0.25">
      <c r="A271" s="4"/>
      <c r="B271" s="4"/>
      <c r="C271" s="4">
        <v>212</v>
      </c>
      <c r="D271" s="4" t="s">
        <v>694</v>
      </c>
      <c r="E271" s="5">
        <v>25.347999999999999</v>
      </c>
      <c r="F271" s="5">
        <v>27.588000000000001</v>
      </c>
      <c r="G271" s="13" t="s">
        <v>24</v>
      </c>
      <c r="H271" s="5" t="s">
        <v>24</v>
      </c>
      <c r="I271" s="4" t="s">
        <v>25</v>
      </c>
      <c r="J271" s="4"/>
      <c r="K271" s="4" t="s">
        <v>41</v>
      </c>
      <c r="L271" s="4">
        <v>20</v>
      </c>
      <c r="M271" s="4" t="str">
        <f t="shared" si="32"/>
        <v>I20</v>
      </c>
      <c r="N271" s="4" t="s">
        <v>385</v>
      </c>
      <c r="O271" s="4">
        <v>345</v>
      </c>
      <c r="P271">
        <v>309</v>
      </c>
      <c r="Q271" t="s">
        <v>28</v>
      </c>
      <c r="R271" t="b">
        <f t="shared" si="33"/>
        <v>1</v>
      </c>
      <c r="S271" s="4" t="s">
        <v>694</v>
      </c>
      <c r="T271" s="3">
        <v>1733</v>
      </c>
      <c r="U271" s="4" t="s">
        <v>25</v>
      </c>
      <c r="V271" s="5">
        <v>25.347999999999999</v>
      </c>
      <c r="W271" s="5">
        <v>27.588000000000001</v>
      </c>
      <c r="X271" s="3" t="s">
        <v>695</v>
      </c>
      <c r="Y271" s="12">
        <f t="shared" si="34"/>
        <v>-2.240000000000002</v>
      </c>
      <c r="AA271" t="b">
        <f t="shared" si="35"/>
        <v>1</v>
      </c>
      <c r="AB271" s="18" t="s">
        <v>696</v>
      </c>
      <c r="AC271" s="18" t="s">
        <v>694</v>
      </c>
      <c r="AD271" s="26">
        <v>681.09</v>
      </c>
      <c r="AE271" s="26"/>
      <c r="AF271" s="26">
        <v>211</v>
      </c>
      <c r="AG271" s="26">
        <v>4522</v>
      </c>
      <c r="AH271" s="3"/>
      <c r="AL271" s="3">
        <v>1733</v>
      </c>
      <c r="AM271" s="34">
        <v>681.09</v>
      </c>
      <c r="AN271" s="40">
        <f>(AM271-122)/3</f>
        <v>186.36333333333334</v>
      </c>
      <c r="AO271" s="40">
        <f>AN271*1.0425+1.2088</f>
        <v>195.49257500000002</v>
      </c>
      <c r="AP271" s="34"/>
      <c r="AQ271" s="3"/>
      <c r="AR271" s="3"/>
      <c r="AS271" s="4" t="s">
        <v>25</v>
      </c>
    </row>
    <row r="272" spans="1:45" x14ac:dyDescent="0.25">
      <c r="A272" s="4"/>
      <c r="B272" s="4"/>
      <c r="C272" s="4">
        <v>260</v>
      </c>
      <c r="D272" s="4" t="s">
        <v>697</v>
      </c>
      <c r="E272" s="5">
        <v>25.59</v>
      </c>
      <c r="F272" s="5" t="s">
        <v>31</v>
      </c>
      <c r="G272" s="13" t="s">
        <v>24</v>
      </c>
      <c r="H272" s="5" t="s">
        <v>31</v>
      </c>
      <c r="I272" s="4" t="s">
        <v>31</v>
      </c>
      <c r="J272" s="4"/>
      <c r="K272" s="4" t="s">
        <v>45</v>
      </c>
      <c r="L272" s="4">
        <v>20</v>
      </c>
      <c r="M272" s="4" t="str">
        <f t="shared" si="32"/>
        <v>K20</v>
      </c>
      <c r="N272" s="4" t="s">
        <v>385</v>
      </c>
      <c r="O272" s="4">
        <v>347</v>
      </c>
      <c r="P272">
        <v>310</v>
      </c>
      <c r="Q272" t="s">
        <v>28</v>
      </c>
      <c r="R272" t="b">
        <f t="shared" si="33"/>
        <v>1</v>
      </c>
      <c r="S272" s="4" t="s">
        <v>697</v>
      </c>
      <c r="T272" s="3">
        <v>1734</v>
      </c>
      <c r="U272" s="4" t="s">
        <v>31</v>
      </c>
      <c r="V272" s="5">
        <v>25.59</v>
      </c>
      <c r="W272" s="5" t="s">
        <v>31</v>
      </c>
      <c r="X272" s="3" t="s">
        <v>698</v>
      </c>
      <c r="Y272" s="12" t="e">
        <f t="shared" si="34"/>
        <v>#VALUE!</v>
      </c>
      <c r="AA272" t="b">
        <f t="shared" si="35"/>
        <v>1</v>
      </c>
      <c r="AB272" s="18" t="s">
        <v>699</v>
      </c>
      <c r="AC272" s="18" t="s">
        <v>697</v>
      </c>
      <c r="AD272" s="26" t="s">
        <v>374</v>
      </c>
      <c r="AE272" s="26"/>
      <c r="AF272" s="26" t="s">
        <v>374</v>
      </c>
      <c r="AG272" s="26" t="s">
        <v>374</v>
      </c>
      <c r="AH272" s="3"/>
      <c r="AL272" s="3">
        <v>1734</v>
      </c>
      <c r="AM272" s="34" t="s">
        <v>374</v>
      </c>
      <c r="AN272" s="17"/>
      <c r="AO272" s="17"/>
      <c r="AP272" s="34"/>
      <c r="AQ272" s="3"/>
      <c r="AR272" s="3"/>
      <c r="AS272" s="4" t="s">
        <v>31</v>
      </c>
    </row>
    <row r="273" spans="1:45" x14ac:dyDescent="0.25">
      <c r="A273" s="4"/>
      <c r="B273" s="4"/>
      <c r="C273" s="4">
        <v>308</v>
      </c>
      <c r="D273" s="4" t="s">
        <v>700</v>
      </c>
      <c r="E273" s="5">
        <v>24.797000000000001</v>
      </c>
      <c r="F273" s="5">
        <v>27.042000000000002</v>
      </c>
      <c r="G273" s="13" t="s">
        <v>24</v>
      </c>
      <c r="H273" s="5" t="s">
        <v>24</v>
      </c>
      <c r="I273" s="4" t="s">
        <v>25</v>
      </c>
      <c r="J273" s="4"/>
      <c r="K273" s="4" t="s">
        <v>48</v>
      </c>
      <c r="L273" s="4">
        <v>20</v>
      </c>
      <c r="M273" s="4" t="str">
        <f t="shared" si="32"/>
        <v>M20</v>
      </c>
      <c r="N273" s="4" t="s">
        <v>385</v>
      </c>
      <c r="O273" s="4">
        <v>349</v>
      </c>
      <c r="P273">
        <v>311</v>
      </c>
      <c r="Q273" t="s">
        <v>28</v>
      </c>
      <c r="R273" t="b">
        <f t="shared" si="33"/>
        <v>1</v>
      </c>
      <c r="S273" s="4" t="s">
        <v>700</v>
      </c>
      <c r="T273" s="3">
        <v>1735</v>
      </c>
      <c r="U273" s="4" t="s">
        <v>25</v>
      </c>
      <c r="V273" s="5">
        <v>24.797000000000001</v>
      </c>
      <c r="W273" s="5">
        <v>27.042000000000002</v>
      </c>
      <c r="X273" s="3" t="s">
        <v>701</v>
      </c>
      <c r="Y273" s="12">
        <f t="shared" si="34"/>
        <v>-2.245000000000001</v>
      </c>
      <c r="AA273" t="b">
        <f t="shared" si="35"/>
        <v>1</v>
      </c>
      <c r="AB273" s="18" t="s">
        <v>702</v>
      </c>
      <c r="AC273" s="18" t="s">
        <v>700</v>
      </c>
      <c r="AD273" s="26">
        <v>695.37</v>
      </c>
      <c r="AE273" s="26"/>
      <c r="AF273" s="26">
        <v>105</v>
      </c>
      <c r="AG273" s="26">
        <v>2094</v>
      </c>
      <c r="AH273" s="3"/>
      <c r="AL273" s="3">
        <v>1735</v>
      </c>
      <c r="AM273" s="34">
        <v>695.37</v>
      </c>
      <c r="AN273" s="40">
        <f>(AM273-122)/3</f>
        <v>191.12333333333333</v>
      </c>
      <c r="AO273" s="40">
        <f>AN273*1.0425+1.2088</f>
        <v>200.45487499999999</v>
      </c>
      <c r="AP273" s="34"/>
      <c r="AQ273" s="3"/>
      <c r="AR273" s="3"/>
      <c r="AS273" s="4" t="s">
        <v>25</v>
      </c>
    </row>
    <row r="274" spans="1:45" x14ac:dyDescent="0.25">
      <c r="A274" s="4"/>
      <c r="B274" s="4"/>
      <c r="C274" s="4">
        <v>356</v>
      </c>
      <c r="D274" s="4" t="s">
        <v>703</v>
      </c>
      <c r="E274" s="5">
        <v>23.581</v>
      </c>
      <c r="F274" s="5">
        <v>38.082000000000001</v>
      </c>
      <c r="G274" s="13" t="s">
        <v>24</v>
      </c>
      <c r="H274" s="5" t="s">
        <v>19</v>
      </c>
      <c r="I274" s="5" t="s">
        <v>31</v>
      </c>
      <c r="J274" s="4"/>
      <c r="K274" s="4" t="s">
        <v>51</v>
      </c>
      <c r="L274" s="4">
        <v>20</v>
      </c>
      <c r="M274" s="4" t="str">
        <f t="shared" si="32"/>
        <v>O20</v>
      </c>
      <c r="N274" s="4" t="s">
        <v>385</v>
      </c>
      <c r="O274" s="4">
        <v>351</v>
      </c>
      <c r="P274">
        <v>312</v>
      </c>
      <c r="Q274" t="s">
        <v>28</v>
      </c>
      <c r="R274" t="b">
        <f t="shared" si="33"/>
        <v>1</v>
      </c>
      <c r="S274" s="4" t="s">
        <v>703</v>
      </c>
      <c r="T274" s="3">
        <v>1736</v>
      </c>
      <c r="U274" s="5" t="s">
        <v>31</v>
      </c>
      <c r="V274" s="5">
        <v>23.581</v>
      </c>
      <c r="W274" s="5">
        <v>38.082000000000001</v>
      </c>
      <c r="X274" s="3" t="s">
        <v>704</v>
      </c>
      <c r="Y274" s="12">
        <f t="shared" si="34"/>
        <v>-14.501000000000001</v>
      </c>
      <c r="AA274" t="b">
        <f t="shared" si="35"/>
        <v>1</v>
      </c>
      <c r="AB274" s="18" t="s">
        <v>705</v>
      </c>
      <c r="AC274" s="18" t="s">
        <v>703</v>
      </c>
      <c r="AD274" s="26" t="s">
        <v>374</v>
      </c>
      <c r="AE274" s="26"/>
      <c r="AF274" s="26" t="s">
        <v>374</v>
      </c>
      <c r="AG274" s="26" t="s">
        <v>374</v>
      </c>
      <c r="AH274" s="3"/>
      <c r="AL274" s="3">
        <v>1736</v>
      </c>
      <c r="AM274" s="34" t="s">
        <v>374</v>
      </c>
      <c r="AN274" s="17"/>
      <c r="AO274" s="17"/>
      <c r="AP274" s="34"/>
      <c r="AQ274" s="3"/>
      <c r="AR274" s="3"/>
      <c r="AS274" s="5" t="s">
        <v>31</v>
      </c>
    </row>
    <row r="275" spans="1:45" x14ac:dyDescent="0.25">
      <c r="A275" s="4"/>
      <c r="B275" s="4"/>
      <c r="C275" s="4">
        <v>44</v>
      </c>
      <c r="D275" s="4" t="s">
        <v>706</v>
      </c>
      <c r="E275" s="5">
        <v>24.829000000000001</v>
      </c>
      <c r="F275" s="5">
        <v>26.841999999999999</v>
      </c>
      <c r="G275" s="13" t="s">
        <v>24</v>
      </c>
      <c r="H275" s="5" t="s">
        <v>24</v>
      </c>
      <c r="I275" s="4" t="s">
        <v>25</v>
      </c>
      <c r="J275" s="4"/>
      <c r="K275" s="4" t="s">
        <v>54</v>
      </c>
      <c r="L275" s="4">
        <v>20</v>
      </c>
      <c r="M275" s="4" t="str">
        <f t="shared" si="32"/>
        <v>B20</v>
      </c>
      <c r="N275" s="4" t="s">
        <v>371</v>
      </c>
      <c r="O275" s="4">
        <v>250</v>
      </c>
      <c r="P275">
        <v>313</v>
      </c>
      <c r="Q275" t="s">
        <v>28</v>
      </c>
      <c r="R275" t="b">
        <f t="shared" si="33"/>
        <v>1</v>
      </c>
      <c r="S275" s="4" t="s">
        <v>706</v>
      </c>
      <c r="T275" s="3">
        <v>1737</v>
      </c>
      <c r="U275" s="4" t="s">
        <v>25</v>
      </c>
      <c r="V275" s="5">
        <v>24.829000000000001</v>
      </c>
      <c r="W275" s="5">
        <v>26.841999999999999</v>
      </c>
      <c r="X275" s="3" t="s">
        <v>707</v>
      </c>
      <c r="Y275" s="12">
        <f t="shared" si="34"/>
        <v>-2.0129999999999981</v>
      </c>
      <c r="AA275" t="b">
        <f t="shared" si="35"/>
        <v>1</v>
      </c>
      <c r="AB275" s="18" t="s">
        <v>708</v>
      </c>
      <c r="AC275" s="18" t="s">
        <v>706</v>
      </c>
      <c r="AD275" s="26">
        <v>689.57</v>
      </c>
      <c r="AE275" s="26"/>
      <c r="AF275" s="26">
        <v>110</v>
      </c>
      <c r="AG275" s="26">
        <v>2174</v>
      </c>
      <c r="AH275" s="3"/>
      <c r="AL275" s="3">
        <v>1737</v>
      </c>
      <c r="AM275" s="34">
        <v>689.57</v>
      </c>
      <c r="AN275" s="40">
        <f>(AM275-122)/3</f>
        <v>189.19000000000003</v>
      </c>
      <c r="AO275" s="40">
        <f>AN275*1.0425+1.2088</f>
        <v>198.43937500000001</v>
      </c>
      <c r="AP275" s="34"/>
      <c r="AQ275" s="3"/>
      <c r="AR275" s="3"/>
      <c r="AS275" s="4" t="s">
        <v>25</v>
      </c>
    </row>
    <row r="276" spans="1:45" x14ac:dyDescent="0.25">
      <c r="A276" s="4"/>
      <c r="B276" s="4"/>
      <c r="C276" s="4">
        <v>92</v>
      </c>
      <c r="D276" s="4" t="s">
        <v>709</v>
      </c>
      <c r="E276" s="5">
        <v>24.321000000000002</v>
      </c>
      <c r="F276" s="5" t="s">
        <v>31</v>
      </c>
      <c r="G276" s="13" t="s">
        <v>24</v>
      </c>
      <c r="H276" s="5" t="s">
        <v>31</v>
      </c>
      <c r="I276" s="4" t="s">
        <v>31</v>
      </c>
      <c r="J276" s="4"/>
      <c r="K276" s="4" t="s">
        <v>57</v>
      </c>
      <c r="L276" s="4">
        <v>20</v>
      </c>
      <c r="M276" s="4" t="str">
        <f t="shared" si="32"/>
        <v>D20</v>
      </c>
      <c r="N276" s="4" t="s">
        <v>371</v>
      </c>
      <c r="O276" s="4">
        <v>252</v>
      </c>
      <c r="P276">
        <v>314</v>
      </c>
      <c r="Q276" t="s">
        <v>28</v>
      </c>
      <c r="R276" t="b">
        <f t="shared" si="33"/>
        <v>1</v>
      </c>
      <c r="S276" s="4" t="s">
        <v>709</v>
      </c>
      <c r="T276" s="3">
        <v>1738</v>
      </c>
      <c r="U276" s="4" t="s">
        <v>31</v>
      </c>
      <c r="V276" s="5">
        <v>24.321000000000002</v>
      </c>
      <c r="W276" s="5" t="s">
        <v>31</v>
      </c>
      <c r="X276" s="3" t="s">
        <v>710</v>
      </c>
      <c r="Y276" s="12" t="e">
        <f t="shared" si="34"/>
        <v>#VALUE!</v>
      </c>
      <c r="AA276" t="b">
        <f t="shared" si="35"/>
        <v>1</v>
      </c>
      <c r="AB276" s="18" t="s">
        <v>711</v>
      </c>
      <c r="AC276" s="18" t="s">
        <v>709</v>
      </c>
      <c r="AD276" s="26" t="s">
        <v>374</v>
      </c>
      <c r="AE276" s="26"/>
      <c r="AF276" s="26" t="s">
        <v>374</v>
      </c>
      <c r="AG276" s="26" t="s">
        <v>374</v>
      </c>
      <c r="AH276" s="3"/>
      <c r="AL276" s="3">
        <v>1738</v>
      </c>
      <c r="AM276" s="34" t="s">
        <v>374</v>
      </c>
      <c r="AN276" s="17"/>
      <c r="AO276" s="17"/>
      <c r="AP276" s="34"/>
      <c r="AQ276" s="3"/>
      <c r="AR276" s="3"/>
      <c r="AS276" s="4" t="s">
        <v>31</v>
      </c>
    </row>
    <row r="277" spans="1:45" x14ac:dyDescent="0.25">
      <c r="A277" s="4"/>
      <c r="B277" s="4"/>
      <c r="C277" s="4">
        <v>140</v>
      </c>
      <c r="D277" s="4" t="s">
        <v>712</v>
      </c>
      <c r="E277" s="5">
        <v>25.969000000000001</v>
      </c>
      <c r="F277" s="5">
        <v>27.882000000000001</v>
      </c>
      <c r="G277" s="13" t="s">
        <v>24</v>
      </c>
      <c r="H277" s="5" t="s">
        <v>24</v>
      </c>
      <c r="I277" s="4" t="s">
        <v>25</v>
      </c>
      <c r="J277" s="4"/>
      <c r="K277" s="4" t="s">
        <v>60</v>
      </c>
      <c r="L277" s="4">
        <v>20</v>
      </c>
      <c r="M277" s="4" t="str">
        <f t="shared" si="32"/>
        <v>F20</v>
      </c>
      <c r="N277" s="4" t="s">
        <v>371</v>
      </c>
      <c r="O277" s="4">
        <v>254</v>
      </c>
      <c r="P277">
        <v>315</v>
      </c>
      <c r="Q277" t="s">
        <v>28</v>
      </c>
      <c r="R277" t="b">
        <f t="shared" si="33"/>
        <v>1</v>
      </c>
      <c r="S277" s="4" t="s">
        <v>712</v>
      </c>
      <c r="T277" s="3">
        <v>1739</v>
      </c>
      <c r="U277" s="4" t="s">
        <v>25</v>
      </c>
      <c r="V277" s="5">
        <v>25.969000000000001</v>
      </c>
      <c r="W277" s="5">
        <v>27.882000000000001</v>
      </c>
      <c r="X277" s="3" t="s">
        <v>713</v>
      </c>
      <c r="Y277" s="12">
        <f t="shared" si="34"/>
        <v>-1.9130000000000003</v>
      </c>
      <c r="AA277" t="b">
        <f t="shared" si="35"/>
        <v>1</v>
      </c>
      <c r="AB277" s="18" t="s">
        <v>714</v>
      </c>
      <c r="AC277" s="18" t="s">
        <v>712</v>
      </c>
      <c r="AD277" s="26">
        <v>701.42</v>
      </c>
      <c r="AE277" s="26"/>
      <c r="AF277" s="26">
        <v>94</v>
      </c>
      <c r="AG277" s="26">
        <v>2029</v>
      </c>
      <c r="AH277" s="3"/>
      <c r="AL277" s="3">
        <v>1739</v>
      </c>
      <c r="AM277" s="34">
        <v>701.42</v>
      </c>
      <c r="AN277" s="40">
        <f>(AM277-122)/3</f>
        <v>193.14</v>
      </c>
      <c r="AO277" s="40">
        <f>AN277*1.0425+1.2088</f>
        <v>202.55724999999998</v>
      </c>
      <c r="AP277" s="34"/>
      <c r="AQ277" s="3"/>
      <c r="AR277" s="3"/>
      <c r="AS277" s="4" t="s">
        <v>25</v>
      </c>
    </row>
    <row r="278" spans="1:45" x14ac:dyDescent="0.25">
      <c r="A278" s="4"/>
      <c r="B278" s="4"/>
      <c r="C278" s="4">
        <v>188</v>
      </c>
      <c r="D278" s="4" t="s">
        <v>715</v>
      </c>
      <c r="E278" s="5">
        <v>24.279</v>
      </c>
      <c r="F278" s="5" t="s">
        <v>31</v>
      </c>
      <c r="G278" s="13" t="s">
        <v>24</v>
      </c>
      <c r="H278" s="5" t="s">
        <v>31</v>
      </c>
      <c r="I278" s="4" t="s">
        <v>31</v>
      </c>
      <c r="J278" s="4"/>
      <c r="K278" s="4" t="s">
        <v>64</v>
      </c>
      <c r="L278" s="4">
        <v>20</v>
      </c>
      <c r="M278" s="4" t="str">
        <f t="shared" si="32"/>
        <v>H20</v>
      </c>
      <c r="N278" s="4" t="s">
        <v>371</v>
      </c>
      <c r="O278" s="4">
        <v>256</v>
      </c>
      <c r="P278">
        <v>316</v>
      </c>
      <c r="Q278" t="s">
        <v>28</v>
      </c>
      <c r="R278" t="b">
        <f t="shared" si="33"/>
        <v>1</v>
      </c>
      <c r="S278" s="4" t="s">
        <v>715</v>
      </c>
      <c r="T278" s="3">
        <v>1740</v>
      </c>
      <c r="U278" s="4" t="s">
        <v>31</v>
      </c>
      <c r="V278" s="5">
        <v>24.279</v>
      </c>
      <c r="W278" s="5" t="s">
        <v>31</v>
      </c>
      <c r="X278" s="3" t="s">
        <v>716</v>
      </c>
      <c r="Y278" s="12" t="e">
        <f t="shared" si="34"/>
        <v>#VALUE!</v>
      </c>
      <c r="AA278" t="b">
        <f t="shared" si="35"/>
        <v>1</v>
      </c>
      <c r="AB278" s="18" t="s">
        <v>717</v>
      </c>
      <c r="AC278" s="18" t="s">
        <v>715</v>
      </c>
      <c r="AD278" s="26" t="s">
        <v>374</v>
      </c>
      <c r="AE278" s="26"/>
      <c r="AF278" s="26" t="s">
        <v>374</v>
      </c>
      <c r="AG278" s="26" t="s">
        <v>374</v>
      </c>
      <c r="AH278" s="3"/>
      <c r="AL278" s="3">
        <v>1740</v>
      </c>
      <c r="AM278" s="34" t="s">
        <v>374</v>
      </c>
      <c r="AN278" s="17"/>
      <c r="AO278" s="17"/>
      <c r="AP278" s="34"/>
      <c r="AQ278" s="3"/>
      <c r="AR278" s="3"/>
      <c r="AS278" s="4" t="s">
        <v>31</v>
      </c>
    </row>
    <row r="279" spans="1:45" x14ac:dyDescent="0.25">
      <c r="A279" s="4"/>
      <c r="B279" s="4"/>
      <c r="C279" s="4">
        <v>236</v>
      </c>
      <c r="D279" s="4" t="s">
        <v>718</v>
      </c>
      <c r="E279" s="5">
        <v>24.992999999999999</v>
      </c>
      <c r="F279" s="5">
        <v>26.988</v>
      </c>
      <c r="G279" s="13" t="s">
        <v>24</v>
      </c>
      <c r="H279" s="5" t="s">
        <v>24</v>
      </c>
      <c r="I279" s="4" t="s">
        <v>25</v>
      </c>
      <c r="J279" s="4"/>
      <c r="K279" s="4" t="s">
        <v>67</v>
      </c>
      <c r="L279" s="4">
        <v>20</v>
      </c>
      <c r="M279" s="4" t="str">
        <f t="shared" si="32"/>
        <v>J20</v>
      </c>
      <c r="N279" s="4" t="s">
        <v>385</v>
      </c>
      <c r="O279" s="4">
        <v>346</v>
      </c>
      <c r="P279">
        <v>317</v>
      </c>
      <c r="Q279" t="s">
        <v>28</v>
      </c>
      <c r="R279" t="b">
        <f t="shared" si="33"/>
        <v>1</v>
      </c>
      <c r="S279" s="4" t="s">
        <v>718</v>
      </c>
      <c r="T279" s="3">
        <v>1741</v>
      </c>
      <c r="U279" s="4" t="s">
        <v>25</v>
      </c>
      <c r="V279" s="5">
        <v>24.992999999999999</v>
      </c>
      <c r="W279" s="5">
        <v>26.988</v>
      </c>
      <c r="X279" s="3" t="s">
        <v>719</v>
      </c>
      <c r="Y279" s="12">
        <f t="shared" si="34"/>
        <v>-1.995000000000001</v>
      </c>
      <c r="AA279" t="b">
        <f t="shared" si="35"/>
        <v>1</v>
      </c>
      <c r="AB279" s="18" t="s">
        <v>720</v>
      </c>
      <c r="AC279" s="18" t="s">
        <v>718</v>
      </c>
      <c r="AD279" s="26">
        <v>698.62</v>
      </c>
      <c r="AE279" s="26"/>
      <c r="AF279" s="26">
        <v>185</v>
      </c>
      <c r="AG279" s="26">
        <v>3756</v>
      </c>
      <c r="AH279" s="3"/>
      <c r="AL279" s="3">
        <v>1741</v>
      </c>
      <c r="AM279" s="34">
        <v>698.62</v>
      </c>
      <c r="AN279" s="40">
        <f>(AM279-122)/3</f>
        <v>192.20666666666668</v>
      </c>
      <c r="AO279" s="40">
        <f>AN279*1.0425+1.2088</f>
        <v>201.58425</v>
      </c>
      <c r="AP279" s="34"/>
      <c r="AQ279" s="3"/>
      <c r="AR279" s="3"/>
      <c r="AS279" s="4" t="s">
        <v>25</v>
      </c>
    </row>
    <row r="280" spans="1:45" x14ac:dyDescent="0.25">
      <c r="A280" s="4"/>
      <c r="B280" s="4"/>
      <c r="C280" s="4">
        <v>284</v>
      </c>
      <c r="D280" s="4" t="s">
        <v>721</v>
      </c>
      <c r="E280" s="5">
        <v>24.966000000000001</v>
      </c>
      <c r="F280" s="5" t="s">
        <v>31</v>
      </c>
      <c r="G280" s="13" t="s">
        <v>24</v>
      </c>
      <c r="H280" s="5" t="s">
        <v>31</v>
      </c>
      <c r="I280" s="4" t="s">
        <v>31</v>
      </c>
      <c r="J280" s="4"/>
      <c r="K280" s="4" t="s">
        <v>70</v>
      </c>
      <c r="L280" s="4">
        <v>20</v>
      </c>
      <c r="M280" s="4" t="str">
        <f t="shared" si="32"/>
        <v>L20</v>
      </c>
      <c r="N280" s="4" t="s">
        <v>385</v>
      </c>
      <c r="O280" s="4">
        <v>348</v>
      </c>
      <c r="P280">
        <v>318</v>
      </c>
      <c r="Q280" t="s">
        <v>28</v>
      </c>
      <c r="R280" t="b">
        <f t="shared" si="33"/>
        <v>1</v>
      </c>
      <c r="S280" s="4" t="s">
        <v>721</v>
      </c>
      <c r="T280" s="3">
        <v>1742</v>
      </c>
      <c r="U280" s="4" t="s">
        <v>31</v>
      </c>
      <c r="V280" s="5">
        <v>24.966000000000001</v>
      </c>
      <c r="W280" s="5" t="s">
        <v>31</v>
      </c>
      <c r="X280" s="3" t="s">
        <v>722</v>
      </c>
      <c r="Y280" s="12" t="e">
        <f t="shared" si="34"/>
        <v>#VALUE!</v>
      </c>
      <c r="AA280" t="b">
        <f t="shared" si="35"/>
        <v>1</v>
      </c>
      <c r="AB280" s="18" t="s">
        <v>723</v>
      </c>
      <c r="AC280" s="18" t="s">
        <v>721</v>
      </c>
      <c r="AD280" s="26" t="s">
        <v>374</v>
      </c>
      <c r="AE280" s="26"/>
      <c r="AF280" s="26" t="s">
        <v>374</v>
      </c>
      <c r="AG280" s="26" t="s">
        <v>374</v>
      </c>
      <c r="AH280" s="3"/>
      <c r="AL280" s="3">
        <v>1742</v>
      </c>
      <c r="AM280" s="34" t="s">
        <v>374</v>
      </c>
      <c r="AN280" s="17"/>
      <c r="AO280" s="17"/>
      <c r="AP280" s="34"/>
      <c r="AQ280" s="3"/>
      <c r="AR280" s="3"/>
      <c r="AS280" s="4" t="s">
        <v>31</v>
      </c>
    </row>
    <row r="281" spans="1:45" x14ac:dyDescent="0.25">
      <c r="A281" s="4"/>
      <c r="B281" s="4"/>
      <c r="C281" s="4">
        <v>332</v>
      </c>
      <c r="D281" s="4" t="s">
        <v>724</v>
      </c>
      <c r="E281" s="5">
        <v>24.405000000000001</v>
      </c>
      <c r="F281" s="5" t="s">
        <v>31</v>
      </c>
      <c r="G281" s="13" t="s">
        <v>24</v>
      </c>
      <c r="H281" s="5" t="s">
        <v>31</v>
      </c>
      <c r="I281" s="4" t="s">
        <v>31</v>
      </c>
      <c r="J281" s="4"/>
      <c r="K281" s="4" t="s">
        <v>73</v>
      </c>
      <c r="L281" s="4">
        <v>20</v>
      </c>
      <c r="M281" s="4" t="str">
        <f t="shared" si="32"/>
        <v>N20</v>
      </c>
      <c r="N281" s="4" t="s">
        <v>385</v>
      </c>
      <c r="O281" s="4">
        <v>350</v>
      </c>
      <c r="P281">
        <v>319</v>
      </c>
      <c r="Q281" t="s">
        <v>28</v>
      </c>
      <c r="R281" t="b">
        <f t="shared" si="33"/>
        <v>1</v>
      </c>
      <c r="S281" s="4" t="s">
        <v>724</v>
      </c>
      <c r="T281" s="3">
        <v>1743</v>
      </c>
      <c r="U281" s="4" t="s">
        <v>31</v>
      </c>
      <c r="V281" s="5">
        <v>24.405000000000001</v>
      </c>
      <c r="W281" s="5" t="s">
        <v>31</v>
      </c>
      <c r="X281" s="3" t="s">
        <v>725</v>
      </c>
      <c r="Y281" s="12" t="e">
        <f t="shared" si="34"/>
        <v>#VALUE!</v>
      </c>
      <c r="AA281" t="b">
        <f t="shared" si="35"/>
        <v>1</v>
      </c>
      <c r="AB281" s="18" t="s">
        <v>726</v>
      </c>
      <c r="AC281" s="18" t="s">
        <v>724</v>
      </c>
      <c r="AD281" s="26" t="s">
        <v>374</v>
      </c>
      <c r="AE281" s="26"/>
      <c r="AF281" s="26" t="s">
        <v>374</v>
      </c>
      <c r="AG281" s="26" t="s">
        <v>374</v>
      </c>
      <c r="AH281" s="3"/>
      <c r="AL281" s="3">
        <v>1743</v>
      </c>
      <c r="AM281" s="34" t="s">
        <v>374</v>
      </c>
      <c r="AN281" s="17"/>
      <c r="AO281" s="17"/>
      <c r="AP281" s="34"/>
      <c r="AQ281" s="3"/>
      <c r="AR281" s="3"/>
      <c r="AS281" s="4" t="s">
        <v>31</v>
      </c>
    </row>
    <row r="282" spans="1:45" x14ac:dyDescent="0.25">
      <c r="A282" s="4"/>
      <c r="B282" s="4"/>
      <c r="C282" s="4">
        <v>380</v>
      </c>
      <c r="D282" s="4" t="s">
        <v>727</v>
      </c>
      <c r="E282" s="5">
        <v>25.312999999999999</v>
      </c>
      <c r="F282" s="5">
        <v>27.233000000000001</v>
      </c>
      <c r="G282" s="13" t="s">
        <v>24</v>
      </c>
      <c r="H282" s="5" t="s">
        <v>24</v>
      </c>
      <c r="I282" s="4" t="s">
        <v>25</v>
      </c>
      <c r="J282" s="4"/>
      <c r="K282" s="4" t="s">
        <v>76</v>
      </c>
      <c r="L282" s="4">
        <v>20</v>
      </c>
      <c r="M282" s="4" t="str">
        <f t="shared" si="32"/>
        <v>P20</v>
      </c>
      <c r="N282" s="4" t="s">
        <v>385</v>
      </c>
      <c r="O282" s="4">
        <v>352</v>
      </c>
      <c r="P282">
        <v>320</v>
      </c>
      <c r="Q282" t="s">
        <v>28</v>
      </c>
      <c r="R282" t="b">
        <f t="shared" si="33"/>
        <v>1</v>
      </c>
      <c r="S282" s="4" t="s">
        <v>727</v>
      </c>
      <c r="T282" s="3">
        <v>1744</v>
      </c>
      <c r="U282" s="4" t="s">
        <v>25</v>
      </c>
      <c r="V282" s="5">
        <v>25.312999999999999</v>
      </c>
      <c r="W282" s="5">
        <v>27.233000000000001</v>
      </c>
      <c r="X282" s="3" t="s">
        <v>728</v>
      </c>
      <c r="Y282" s="12">
        <f t="shared" si="34"/>
        <v>-1.9200000000000017</v>
      </c>
      <c r="AA282" t="b">
        <f t="shared" si="35"/>
        <v>1</v>
      </c>
      <c r="AB282" s="18" t="s">
        <v>729</v>
      </c>
      <c r="AC282" s="18" t="s">
        <v>727</v>
      </c>
      <c r="AD282" s="26">
        <v>683.73</v>
      </c>
      <c r="AE282" s="26"/>
      <c r="AF282" s="26">
        <v>98</v>
      </c>
      <c r="AG282" s="26">
        <v>2046</v>
      </c>
      <c r="AH282" s="3"/>
      <c r="AL282" s="3">
        <v>1744</v>
      </c>
      <c r="AM282" s="34">
        <v>683.73</v>
      </c>
      <c r="AN282" s="40">
        <f>(AM282-122)/3</f>
        <v>187.24333333333334</v>
      </c>
      <c r="AO282" s="40">
        <f>AN282*1.0425+1.2088</f>
        <v>196.409975</v>
      </c>
      <c r="AP282" s="34"/>
      <c r="AQ282" s="3"/>
      <c r="AR282" s="3"/>
      <c r="AS282" s="4" t="s">
        <v>25</v>
      </c>
    </row>
    <row r="283" spans="1:45" x14ac:dyDescent="0.25">
      <c r="A283" s="4"/>
      <c r="B283" s="4"/>
      <c r="C283" s="4">
        <v>21</v>
      </c>
      <c r="D283" s="4" t="s">
        <v>730</v>
      </c>
      <c r="E283" s="5">
        <v>24.718</v>
      </c>
      <c r="F283" s="5">
        <v>26.884</v>
      </c>
      <c r="G283" s="13" t="s">
        <v>24</v>
      </c>
      <c r="H283" s="5" t="s">
        <v>24</v>
      </c>
      <c r="I283" s="4" t="s">
        <v>25</v>
      </c>
      <c r="J283" s="4"/>
      <c r="K283" s="4" t="s">
        <v>26</v>
      </c>
      <c r="L283" s="4">
        <v>21</v>
      </c>
      <c r="M283" s="4" t="str">
        <f t="shared" si="32"/>
        <v>A21</v>
      </c>
      <c r="N283" s="4" t="s">
        <v>371</v>
      </c>
      <c r="O283" s="4">
        <v>257</v>
      </c>
      <c r="P283">
        <v>321</v>
      </c>
      <c r="Q283" t="s">
        <v>28</v>
      </c>
      <c r="R283" t="b">
        <f t="shared" si="33"/>
        <v>1</v>
      </c>
      <c r="S283" s="4" t="s">
        <v>730</v>
      </c>
      <c r="T283" s="3">
        <v>1745</v>
      </c>
      <c r="U283" s="4" t="s">
        <v>25</v>
      </c>
      <c r="V283" s="5">
        <v>24.718</v>
      </c>
      <c r="W283" s="5">
        <v>26.884</v>
      </c>
      <c r="X283" s="3" t="s">
        <v>731</v>
      </c>
      <c r="Y283" s="12">
        <f t="shared" si="34"/>
        <v>-2.1660000000000004</v>
      </c>
      <c r="AA283" t="b">
        <f t="shared" si="35"/>
        <v>1</v>
      </c>
      <c r="AB283" s="18" t="s">
        <v>732</v>
      </c>
      <c r="AC283" s="18" t="s">
        <v>730</v>
      </c>
      <c r="AD283" s="26">
        <v>683.88</v>
      </c>
      <c r="AE283" s="26"/>
      <c r="AF283" s="26">
        <v>77</v>
      </c>
      <c r="AG283" s="26">
        <v>1613</v>
      </c>
      <c r="AH283" s="3"/>
      <c r="AL283" s="3">
        <v>1745</v>
      </c>
      <c r="AM283" s="34">
        <v>683.88</v>
      </c>
      <c r="AN283" s="40">
        <f>(AM283-122)/3</f>
        <v>187.29333333333332</v>
      </c>
      <c r="AO283" s="40">
        <f>AN283*1.0425+1.2088</f>
        <v>196.46209999999999</v>
      </c>
      <c r="AP283" s="34"/>
      <c r="AQ283" s="3"/>
      <c r="AR283" s="3"/>
      <c r="AS283" s="4" t="s">
        <v>25</v>
      </c>
    </row>
    <row r="284" spans="1:45" x14ac:dyDescent="0.25">
      <c r="A284" s="4"/>
      <c r="B284" s="4"/>
      <c r="C284" s="4">
        <v>69</v>
      </c>
      <c r="D284" s="4" t="s">
        <v>733</v>
      </c>
      <c r="E284" s="5">
        <v>24.579000000000001</v>
      </c>
      <c r="F284" s="5">
        <v>26.731000000000002</v>
      </c>
      <c r="G284" s="13" t="s">
        <v>24</v>
      </c>
      <c r="H284" s="5" t="s">
        <v>24</v>
      </c>
      <c r="I284" s="4" t="s">
        <v>25</v>
      </c>
      <c r="J284" s="4"/>
      <c r="K284" s="4" t="s">
        <v>32</v>
      </c>
      <c r="L284" s="4">
        <v>21</v>
      </c>
      <c r="M284" s="4" t="str">
        <f t="shared" si="32"/>
        <v>C21</v>
      </c>
      <c r="N284" s="4" t="s">
        <v>371</v>
      </c>
      <c r="O284" s="4">
        <v>259</v>
      </c>
      <c r="P284">
        <v>322</v>
      </c>
      <c r="Q284" t="s">
        <v>28</v>
      </c>
      <c r="R284" t="b">
        <f t="shared" si="33"/>
        <v>1</v>
      </c>
      <c r="S284" s="4" t="s">
        <v>733</v>
      </c>
      <c r="T284" s="3">
        <v>1746</v>
      </c>
      <c r="U284" s="4" t="s">
        <v>25</v>
      </c>
      <c r="V284" s="5">
        <v>24.579000000000001</v>
      </c>
      <c r="W284" s="5">
        <v>26.731000000000002</v>
      </c>
      <c r="X284" s="3" t="s">
        <v>734</v>
      </c>
      <c r="Y284" s="12">
        <f t="shared" si="34"/>
        <v>-2.152000000000001</v>
      </c>
      <c r="AA284" t="b">
        <f t="shared" si="35"/>
        <v>1</v>
      </c>
      <c r="AB284" s="18" t="s">
        <v>735</v>
      </c>
      <c r="AC284" s="18" t="s">
        <v>733</v>
      </c>
      <c r="AD284" s="26">
        <v>715.47</v>
      </c>
      <c r="AE284" s="26"/>
      <c r="AF284" s="26">
        <v>84</v>
      </c>
      <c r="AG284" s="26">
        <v>1753</v>
      </c>
      <c r="AH284" s="3"/>
      <c r="AL284" s="3">
        <v>1746</v>
      </c>
      <c r="AM284" s="34">
        <v>715.47</v>
      </c>
      <c r="AN284" s="40">
        <f>(AM284-122)/3</f>
        <v>197.82333333333335</v>
      </c>
      <c r="AO284" s="40">
        <f>AN284*1.0425+1.2088</f>
        <v>207.43962500000001</v>
      </c>
      <c r="AP284" s="34"/>
      <c r="AQ284" s="3"/>
      <c r="AR284" s="3"/>
      <c r="AS284" s="4" t="s">
        <v>25</v>
      </c>
    </row>
    <row r="285" spans="1:45" x14ac:dyDescent="0.25">
      <c r="A285" s="4"/>
      <c r="B285" s="4"/>
      <c r="C285" s="4">
        <v>117</v>
      </c>
      <c r="D285" s="4" t="s">
        <v>736</v>
      </c>
      <c r="E285" s="5">
        <v>24.068999999999999</v>
      </c>
      <c r="F285" s="5" t="s">
        <v>31</v>
      </c>
      <c r="G285" s="13" t="s">
        <v>24</v>
      </c>
      <c r="H285" s="5" t="s">
        <v>31</v>
      </c>
      <c r="I285" s="4" t="s">
        <v>31</v>
      </c>
      <c r="J285" s="4"/>
      <c r="K285" s="4" t="s">
        <v>35</v>
      </c>
      <c r="L285" s="4">
        <v>21</v>
      </c>
      <c r="M285" s="4" t="str">
        <f t="shared" si="32"/>
        <v>E21</v>
      </c>
      <c r="N285" s="4" t="s">
        <v>371</v>
      </c>
      <c r="O285" s="4">
        <v>261</v>
      </c>
      <c r="P285">
        <v>323</v>
      </c>
      <c r="Q285" t="s">
        <v>28</v>
      </c>
      <c r="R285" t="b">
        <f t="shared" si="33"/>
        <v>1</v>
      </c>
      <c r="S285" s="4" t="s">
        <v>736</v>
      </c>
      <c r="T285" s="3">
        <v>1747</v>
      </c>
      <c r="U285" s="4" t="s">
        <v>31</v>
      </c>
      <c r="V285" s="5">
        <v>24.068999999999999</v>
      </c>
      <c r="W285" s="5" t="s">
        <v>31</v>
      </c>
      <c r="X285" s="3" t="s">
        <v>737</v>
      </c>
      <c r="Y285" s="12" t="e">
        <f t="shared" si="34"/>
        <v>#VALUE!</v>
      </c>
      <c r="AA285" t="b">
        <f t="shared" si="35"/>
        <v>1</v>
      </c>
      <c r="AB285" s="18" t="s">
        <v>738</v>
      </c>
      <c r="AC285" s="18" t="s">
        <v>736</v>
      </c>
      <c r="AD285" s="26" t="s">
        <v>374</v>
      </c>
      <c r="AE285" s="26"/>
      <c r="AF285" s="26" t="s">
        <v>374</v>
      </c>
      <c r="AG285" s="26" t="s">
        <v>374</v>
      </c>
      <c r="AH285" s="3"/>
      <c r="AL285" s="3">
        <v>1747</v>
      </c>
      <c r="AM285" s="34" t="s">
        <v>374</v>
      </c>
      <c r="AN285" s="17"/>
      <c r="AO285" s="17"/>
      <c r="AP285" s="34"/>
      <c r="AQ285" s="3"/>
      <c r="AR285" s="3"/>
      <c r="AS285" s="4" t="s">
        <v>31</v>
      </c>
    </row>
    <row r="286" spans="1:45" x14ac:dyDescent="0.25">
      <c r="A286" s="4"/>
      <c r="B286" s="4"/>
      <c r="C286" s="4">
        <v>165</v>
      </c>
      <c r="D286" s="4" t="s">
        <v>739</v>
      </c>
      <c r="E286" s="5">
        <v>24.202000000000002</v>
      </c>
      <c r="F286" s="5" t="s">
        <v>31</v>
      </c>
      <c r="G286" s="13" t="s">
        <v>24</v>
      </c>
      <c r="H286" s="5" t="s">
        <v>31</v>
      </c>
      <c r="I286" s="4" t="s">
        <v>31</v>
      </c>
      <c r="J286" s="4"/>
      <c r="K286" s="4" t="s">
        <v>38</v>
      </c>
      <c r="L286" s="4">
        <v>21</v>
      </c>
      <c r="M286" s="4" t="str">
        <f t="shared" si="32"/>
        <v>G21</v>
      </c>
      <c r="N286" s="4" t="s">
        <v>371</v>
      </c>
      <c r="O286" s="4">
        <v>263</v>
      </c>
      <c r="P286">
        <v>324</v>
      </c>
      <c r="Q286" t="s">
        <v>28</v>
      </c>
      <c r="R286" t="b">
        <f t="shared" si="33"/>
        <v>1</v>
      </c>
      <c r="S286" s="4" t="s">
        <v>739</v>
      </c>
      <c r="T286" s="3">
        <v>1748</v>
      </c>
      <c r="U286" s="4" t="s">
        <v>31</v>
      </c>
      <c r="V286" s="5">
        <v>24.202000000000002</v>
      </c>
      <c r="W286" s="5" t="s">
        <v>31</v>
      </c>
      <c r="X286" s="3" t="s">
        <v>740</v>
      </c>
      <c r="Y286" s="12" t="e">
        <f t="shared" si="34"/>
        <v>#VALUE!</v>
      </c>
      <c r="AA286" t="b">
        <f t="shared" si="35"/>
        <v>1</v>
      </c>
      <c r="AB286" s="18" t="s">
        <v>741</v>
      </c>
      <c r="AC286" s="18" t="s">
        <v>739</v>
      </c>
      <c r="AD286" s="26" t="s">
        <v>374</v>
      </c>
      <c r="AE286" s="26"/>
      <c r="AF286" s="26" t="s">
        <v>374</v>
      </c>
      <c r="AG286" s="26" t="s">
        <v>374</v>
      </c>
      <c r="AH286" s="3"/>
      <c r="AL286" s="3">
        <v>1748</v>
      </c>
      <c r="AM286" s="34" t="s">
        <v>374</v>
      </c>
      <c r="AN286" s="17"/>
      <c r="AO286" s="17"/>
      <c r="AP286" s="34"/>
      <c r="AQ286" s="3"/>
      <c r="AR286" s="3"/>
      <c r="AS286" s="4" t="s">
        <v>31</v>
      </c>
    </row>
    <row r="287" spans="1:45" x14ac:dyDescent="0.25">
      <c r="A287" s="4"/>
      <c r="B287" s="4"/>
      <c r="C287" s="4">
        <v>213</v>
      </c>
      <c r="D287" s="4" t="s">
        <v>742</v>
      </c>
      <c r="E287" s="5">
        <v>24.041</v>
      </c>
      <c r="F287" s="5" t="s">
        <v>31</v>
      </c>
      <c r="G287" s="13" t="s">
        <v>24</v>
      </c>
      <c r="H287" s="5" t="s">
        <v>31</v>
      </c>
      <c r="I287" s="4" t="s">
        <v>31</v>
      </c>
      <c r="J287" s="4"/>
      <c r="K287" s="4" t="s">
        <v>41</v>
      </c>
      <c r="L287" s="4">
        <v>21</v>
      </c>
      <c r="M287" s="4" t="str">
        <f t="shared" si="32"/>
        <v>I21</v>
      </c>
      <c r="N287" s="4" t="s">
        <v>385</v>
      </c>
      <c r="O287" s="4">
        <v>353</v>
      </c>
      <c r="P287">
        <v>325</v>
      </c>
      <c r="Q287" t="s">
        <v>28</v>
      </c>
      <c r="R287" t="b">
        <f t="shared" si="33"/>
        <v>1</v>
      </c>
      <c r="S287" s="4" t="s">
        <v>742</v>
      </c>
      <c r="T287" s="3">
        <v>1749</v>
      </c>
      <c r="U287" s="4" t="s">
        <v>31</v>
      </c>
      <c r="V287" s="5">
        <v>24.041</v>
      </c>
      <c r="W287" s="5" t="s">
        <v>31</v>
      </c>
      <c r="X287" s="3" t="s">
        <v>743</v>
      </c>
      <c r="Y287" s="12" t="e">
        <f t="shared" si="34"/>
        <v>#VALUE!</v>
      </c>
      <c r="AA287" t="b">
        <f t="shared" si="35"/>
        <v>1</v>
      </c>
      <c r="AB287" s="18" t="s">
        <v>744</v>
      </c>
      <c r="AC287" s="18" t="s">
        <v>742</v>
      </c>
      <c r="AD287" s="26" t="s">
        <v>374</v>
      </c>
      <c r="AE287" s="26"/>
      <c r="AF287" s="26" t="s">
        <v>374</v>
      </c>
      <c r="AG287" s="26" t="s">
        <v>374</v>
      </c>
      <c r="AH287" s="3"/>
      <c r="AL287" s="3">
        <v>1749</v>
      </c>
      <c r="AM287" s="34" t="s">
        <v>374</v>
      </c>
      <c r="AN287" s="17"/>
      <c r="AO287" s="17"/>
      <c r="AP287" s="34"/>
      <c r="AQ287" s="3"/>
      <c r="AR287" s="3"/>
      <c r="AS287" s="4" t="s">
        <v>31</v>
      </c>
    </row>
    <row r="288" spans="1:45" x14ac:dyDescent="0.25">
      <c r="A288" s="4"/>
      <c r="B288" s="4"/>
      <c r="C288" s="4">
        <v>261</v>
      </c>
      <c r="D288" s="4" t="s">
        <v>745</v>
      </c>
      <c r="E288" s="5">
        <v>25.92</v>
      </c>
      <c r="F288" s="5">
        <v>28.09</v>
      </c>
      <c r="G288" s="13" t="s">
        <v>24</v>
      </c>
      <c r="H288" s="5" t="s">
        <v>24</v>
      </c>
      <c r="I288" s="4" t="s">
        <v>25</v>
      </c>
      <c r="J288" s="4"/>
      <c r="K288" s="4" t="s">
        <v>45</v>
      </c>
      <c r="L288" s="4">
        <v>21</v>
      </c>
      <c r="M288" s="4" t="str">
        <f t="shared" si="32"/>
        <v>K21</v>
      </c>
      <c r="N288" s="4" t="s">
        <v>385</v>
      </c>
      <c r="O288" s="4">
        <v>355</v>
      </c>
      <c r="P288">
        <v>326</v>
      </c>
      <c r="Q288" t="s">
        <v>28</v>
      </c>
      <c r="R288" t="b">
        <f t="shared" si="33"/>
        <v>1</v>
      </c>
      <c r="S288" s="4" t="s">
        <v>745</v>
      </c>
      <c r="T288" s="3">
        <v>1750</v>
      </c>
      <c r="U288" s="4" t="s">
        <v>25</v>
      </c>
      <c r="V288" s="5">
        <v>25.92</v>
      </c>
      <c r="W288" s="5">
        <v>28.09</v>
      </c>
      <c r="X288" s="3" t="s">
        <v>746</v>
      </c>
      <c r="Y288" s="12">
        <f t="shared" si="34"/>
        <v>-2.1699999999999982</v>
      </c>
      <c r="AA288" t="b">
        <f t="shared" si="35"/>
        <v>1</v>
      </c>
      <c r="AB288" s="18" t="s">
        <v>747</v>
      </c>
      <c r="AC288" s="18" t="s">
        <v>745</v>
      </c>
      <c r="AD288" s="26">
        <v>678.19</v>
      </c>
      <c r="AE288" s="26"/>
      <c r="AF288" s="26">
        <v>83</v>
      </c>
      <c r="AG288" s="26">
        <v>1567</v>
      </c>
      <c r="AH288" s="3"/>
      <c r="AL288" s="3">
        <v>1750</v>
      </c>
      <c r="AM288" s="34">
        <v>678.19</v>
      </c>
      <c r="AN288" s="40">
        <f>(AM288-122)/3</f>
        <v>185.39666666666668</v>
      </c>
      <c r="AO288" s="40">
        <f>AN288*1.0425+1.2088</f>
        <v>194.484825</v>
      </c>
      <c r="AP288" s="34"/>
      <c r="AQ288" s="3"/>
      <c r="AR288" s="3"/>
      <c r="AS288" s="4" t="s">
        <v>25</v>
      </c>
    </row>
    <row r="289" spans="1:47" x14ac:dyDescent="0.25">
      <c r="A289" s="4"/>
      <c r="B289" s="4"/>
      <c r="C289" s="4">
        <v>309</v>
      </c>
      <c r="D289" s="4" t="s">
        <v>748</v>
      </c>
      <c r="E289" s="5">
        <v>24.088999999999999</v>
      </c>
      <c r="F289" s="5" t="s">
        <v>31</v>
      </c>
      <c r="G289" s="13" t="s">
        <v>24</v>
      </c>
      <c r="H289" s="5" t="s">
        <v>31</v>
      </c>
      <c r="I289" s="4" t="s">
        <v>31</v>
      </c>
      <c r="J289" s="4"/>
      <c r="K289" s="4" t="s">
        <v>48</v>
      </c>
      <c r="L289" s="4">
        <v>21</v>
      </c>
      <c r="M289" s="4" t="str">
        <f t="shared" si="32"/>
        <v>M21</v>
      </c>
      <c r="N289" s="4" t="s">
        <v>385</v>
      </c>
      <c r="O289" s="4">
        <v>357</v>
      </c>
      <c r="P289">
        <v>327</v>
      </c>
      <c r="Q289" t="s">
        <v>28</v>
      </c>
      <c r="R289" t="b">
        <f t="shared" si="33"/>
        <v>1</v>
      </c>
      <c r="S289" s="4" t="s">
        <v>748</v>
      </c>
      <c r="T289" s="3">
        <v>1751</v>
      </c>
      <c r="U289" s="4" t="s">
        <v>31</v>
      </c>
      <c r="V289" s="5">
        <v>24.088999999999999</v>
      </c>
      <c r="W289" s="5" t="s">
        <v>31</v>
      </c>
      <c r="X289" s="3" t="s">
        <v>749</v>
      </c>
      <c r="Y289" s="12" t="e">
        <f t="shared" si="34"/>
        <v>#VALUE!</v>
      </c>
      <c r="AA289" t="b">
        <f t="shared" si="35"/>
        <v>1</v>
      </c>
      <c r="AB289" s="18" t="s">
        <v>750</v>
      </c>
      <c r="AC289" s="18" t="s">
        <v>748</v>
      </c>
      <c r="AD289" s="26" t="s">
        <v>374</v>
      </c>
      <c r="AE289" s="26"/>
      <c r="AF289" s="26" t="s">
        <v>374</v>
      </c>
      <c r="AG289" s="26" t="s">
        <v>374</v>
      </c>
      <c r="AH289" s="3"/>
      <c r="AL289" s="3">
        <v>1751</v>
      </c>
      <c r="AM289" s="34" t="s">
        <v>374</v>
      </c>
      <c r="AN289" s="17"/>
      <c r="AO289" s="17"/>
      <c r="AP289" s="34"/>
      <c r="AQ289" s="3"/>
      <c r="AR289" s="3"/>
      <c r="AS289" s="4" t="s">
        <v>31</v>
      </c>
    </row>
    <row r="290" spans="1:47" x14ac:dyDescent="0.25">
      <c r="A290" s="4"/>
      <c r="B290" s="4"/>
      <c r="C290" s="4">
        <v>357</v>
      </c>
      <c r="D290" s="4" t="s">
        <v>751</v>
      </c>
      <c r="E290" s="5">
        <v>24.847000000000001</v>
      </c>
      <c r="F290" s="5" t="s">
        <v>31</v>
      </c>
      <c r="G290" s="13" t="s">
        <v>24</v>
      </c>
      <c r="H290" s="5" t="s">
        <v>31</v>
      </c>
      <c r="I290" s="4" t="s">
        <v>31</v>
      </c>
      <c r="J290" s="4"/>
      <c r="K290" s="4" t="s">
        <v>51</v>
      </c>
      <c r="L290" s="4">
        <v>21</v>
      </c>
      <c r="M290" s="4" t="str">
        <f t="shared" si="32"/>
        <v>O21</v>
      </c>
      <c r="N290" s="4" t="s">
        <v>385</v>
      </c>
      <c r="O290" s="4">
        <v>359</v>
      </c>
      <c r="P290">
        <v>328</v>
      </c>
      <c r="Q290" t="s">
        <v>28</v>
      </c>
      <c r="R290" t="b">
        <f t="shared" si="33"/>
        <v>1</v>
      </c>
      <c r="S290" s="4" t="s">
        <v>751</v>
      </c>
      <c r="T290" s="3">
        <v>1752</v>
      </c>
      <c r="U290" s="4" t="s">
        <v>31</v>
      </c>
      <c r="V290" s="5">
        <v>24.847000000000001</v>
      </c>
      <c r="W290" s="5" t="s">
        <v>31</v>
      </c>
      <c r="X290" s="3" t="s">
        <v>752</v>
      </c>
      <c r="Y290" s="12" t="e">
        <f t="shared" si="34"/>
        <v>#VALUE!</v>
      </c>
      <c r="AA290" t="b">
        <f t="shared" si="35"/>
        <v>1</v>
      </c>
      <c r="AB290" s="18" t="s">
        <v>753</v>
      </c>
      <c r="AC290" s="18" t="s">
        <v>751</v>
      </c>
      <c r="AD290" s="26" t="s">
        <v>374</v>
      </c>
      <c r="AE290" s="26"/>
      <c r="AF290" s="26" t="s">
        <v>374</v>
      </c>
      <c r="AG290" s="26" t="s">
        <v>374</v>
      </c>
      <c r="AH290" s="3"/>
      <c r="AL290" s="3">
        <v>1752</v>
      </c>
      <c r="AM290" s="34" t="s">
        <v>374</v>
      </c>
      <c r="AN290" s="17"/>
      <c r="AO290" s="17"/>
      <c r="AP290" s="34"/>
      <c r="AQ290" s="3"/>
      <c r="AR290" s="3"/>
      <c r="AS290" s="4" t="s">
        <v>31</v>
      </c>
    </row>
    <row r="291" spans="1:47" x14ac:dyDescent="0.25">
      <c r="A291" s="4"/>
      <c r="B291" s="4"/>
      <c r="C291" s="4">
        <v>45</v>
      </c>
      <c r="D291" s="4" t="s">
        <v>754</v>
      </c>
      <c r="E291" s="5">
        <v>24.146000000000001</v>
      </c>
      <c r="F291" s="5" t="s">
        <v>31</v>
      </c>
      <c r="G291" s="13" t="s">
        <v>24</v>
      </c>
      <c r="H291" s="5" t="s">
        <v>31</v>
      </c>
      <c r="I291" s="4" t="s">
        <v>31</v>
      </c>
      <c r="J291" s="4"/>
      <c r="K291" s="4" t="s">
        <v>54</v>
      </c>
      <c r="L291" s="4">
        <v>21</v>
      </c>
      <c r="M291" s="4" t="str">
        <f t="shared" si="32"/>
        <v>B21</v>
      </c>
      <c r="N291" s="4" t="s">
        <v>371</v>
      </c>
      <c r="O291" s="4">
        <v>258</v>
      </c>
      <c r="P291">
        <v>329</v>
      </c>
      <c r="Q291" t="s">
        <v>28</v>
      </c>
      <c r="R291" t="b">
        <f t="shared" si="33"/>
        <v>1</v>
      </c>
      <c r="S291" s="4" t="s">
        <v>754</v>
      </c>
      <c r="T291" s="3">
        <v>1753</v>
      </c>
      <c r="U291" s="4" t="s">
        <v>31</v>
      </c>
      <c r="V291" s="5">
        <v>24.146000000000001</v>
      </c>
      <c r="W291" s="5" t="s">
        <v>31</v>
      </c>
      <c r="X291" s="3" t="s">
        <v>755</v>
      </c>
      <c r="Y291" s="12" t="e">
        <f t="shared" si="34"/>
        <v>#VALUE!</v>
      </c>
      <c r="AA291" t="b">
        <f t="shared" si="35"/>
        <v>1</v>
      </c>
      <c r="AB291" s="18" t="s">
        <v>756</v>
      </c>
      <c r="AC291" s="18" t="s">
        <v>754</v>
      </c>
      <c r="AD291" s="26" t="s">
        <v>374</v>
      </c>
      <c r="AE291" s="26"/>
      <c r="AF291" s="26" t="s">
        <v>374</v>
      </c>
      <c r="AG291" s="26" t="s">
        <v>374</v>
      </c>
      <c r="AH291" s="3"/>
      <c r="AL291" s="3">
        <v>1753</v>
      </c>
      <c r="AM291" s="34" t="s">
        <v>374</v>
      </c>
      <c r="AN291" s="17"/>
      <c r="AO291" s="17"/>
      <c r="AP291" s="34"/>
      <c r="AQ291" s="3"/>
      <c r="AR291" s="3"/>
      <c r="AS291" s="4" t="s">
        <v>31</v>
      </c>
    </row>
    <row r="292" spans="1:47" x14ac:dyDescent="0.25">
      <c r="A292" s="4"/>
      <c r="B292" s="4"/>
      <c r="C292" s="4">
        <v>93</v>
      </c>
      <c r="D292" s="4" t="s">
        <v>757</v>
      </c>
      <c r="E292" s="5">
        <v>23.861999999999998</v>
      </c>
      <c r="F292" s="5" t="s">
        <v>31</v>
      </c>
      <c r="G292" s="13" t="s">
        <v>24</v>
      </c>
      <c r="H292" s="5" t="s">
        <v>31</v>
      </c>
      <c r="I292" s="4" t="s">
        <v>31</v>
      </c>
      <c r="J292" s="4"/>
      <c r="K292" s="4" t="s">
        <v>57</v>
      </c>
      <c r="L292" s="4">
        <v>21</v>
      </c>
      <c r="M292" s="4" t="str">
        <f t="shared" si="32"/>
        <v>D21</v>
      </c>
      <c r="N292" s="4" t="s">
        <v>371</v>
      </c>
      <c r="O292" s="4">
        <v>260</v>
      </c>
      <c r="P292">
        <v>330</v>
      </c>
      <c r="Q292" t="s">
        <v>28</v>
      </c>
      <c r="R292" t="b">
        <f t="shared" si="33"/>
        <v>1</v>
      </c>
      <c r="S292" s="4" t="s">
        <v>757</v>
      </c>
      <c r="T292" s="3">
        <v>1754</v>
      </c>
      <c r="U292" s="4" t="s">
        <v>31</v>
      </c>
      <c r="V292" s="5">
        <v>23.861999999999998</v>
      </c>
      <c r="W292" s="5" t="s">
        <v>31</v>
      </c>
      <c r="X292" s="3" t="s">
        <v>758</v>
      </c>
      <c r="Y292" s="12" t="e">
        <f t="shared" si="34"/>
        <v>#VALUE!</v>
      </c>
      <c r="AA292" t="b">
        <f t="shared" si="35"/>
        <v>1</v>
      </c>
      <c r="AB292" s="18" t="s">
        <v>759</v>
      </c>
      <c r="AC292" s="18" t="s">
        <v>757</v>
      </c>
      <c r="AD292" s="26" t="s">
        <v>374</v>
      </c>
      <c r="AE292" s="26"/>
      <c r="AF292" s="26" t="s">
        <v>374</v>
      </c>
      <c r="AG292" s="26" t="s">
        <v>374</v>
      </c>
      <c r="AH292" s="3"/>
      <c r="AL292" s="3">
        <v>1754</v>
      </c>
      <c r="AM292" s="34" t="s">
        <v>374</v>
      </c>
      <c r="AN292" s="17"/>
      <c r="AO292" s="17"/>
      <c r="AP292" s="34"/>
      <c r="AQ292" s="3"/>
      <c r="AR292" s="3"/>
      <c r="AS292" s="4" t="s">
        <v>31</v>
      </c>
    </row>
    <row r="293" spans="1:47" x14ac:dyDescent="0.25">
      <c r="A293" s="4"/>
      <c r="B293" s="4"/>
      <c r="C293" s="4">
        <v>141</v>
      </c>
      <c r="D293" s="4" t="s">
        <v>760</v>
      </c>
      <c r="E293" s="5">
        <v>24.702999999999999</v>
      </c>
      <c r="F293" s="5">
        <v>26.794</v>
      </c>
      <c r="G293" s="13" t="s">
        <v>24</v>
      </c>
      <c r="H293" s="5" t="s">
        <v>24</v>
      </c>
      <c r="I293" s="4" t="s">
        <v>25</v>
      </c>
      <c r="J293" s="4"/>
      <c r="K293" s="4" t="s">
        <v>60</v>
      </c>
      <c r="L293" s="4">
        <v>21</v>
      </c>
      <c r="M293" s="4" t="str">
        <f t="shared" si="32"/>
        <v>F21</v>
      </c>
      <c r="N293" s="4" t="s">
        <v>371</v>
      </c>
      <c r="O293" s="4">
        <v>262</v>
      </c>
      <c r="P293">
        <v>331</v>
      </c>
      <c r="Q293" t="s">
        <v>28</v>
      </c>
      <c r="R293" t="b">
        <f t="shared" si="33"/>
        <v>1</v>
      </c>
      <c r="S293" s="4" t="s">
        <v>760</v>
      </c>
      <c r="T293" s="3">
        <v>1755</v>
      </c>
      <c r="U293" s="4" t="s">
        <v>25</v>
      </c>
      <c r="V293" s="5">
        <v>24.702999999999999</v>
      </c>
      <c r="W293" s="5">
        <v>26.794</v>
      </c>
      <c r="X293" s="3" t="s">
        <v>761</v>
      </c>
      <c r="Y293" s="12">
        <f t="shared" si="34"/>
        <v>-2.0910000000000011</v>
      </c>
      <c r="AA293" t="b">
        <f t="shared" si="35"/>
        <v>1</v>
      </c>
      <c r="AB293" s="18" t="s">
        <v>762</v>
      </c>
      <c r="AC293" s="18" t="s">
        <v>760</v>
      </c>
      <c r="AD293" s="26">
        <v>718.32</v>
      </c>
      <c r="AE293" s="26"/>
      <c r="AF293" s="26">
        <v>109</v>
      </c>
      <c r="AG293" s="26">
        <v>2361</v>
      </c>
      <c r="AH293" s="3"/>
      <c r="AL293" s="3">
        <v>1755</v>
      </c>
      <c r="AM293" s="34">
        <v>718.32</v>
      </c>
      <c r="AN293" s="40">
        <f>(AM293-122)/3</f>
        <v>198.77333333333334</v>
      </c>
      <c r="AO293" s="40">
        <f>AN293*1.0425+1.2088</f>
        <v>208.43</v>
      </c>
      <c r="AP293" s="34"/>
      <c r="AQ293" s="3"/>
      <c r="AR293" s="3"/>
      <c r="AS293" s="4" t="s">
        <v>25</v>
      </c>
    </row>
    <row r="294" spans="1:47" x14ac:dyDescent="0.25">
      <c r="A294" s="4"/>
      <c r="B294" s="4"/>
      <c r="C294" s="4">
        <v>189</v>
      </c>
      <c r="D294" s="4" t="s">
        <v>763</v>
      </c>
      <c r="E294" s="5">
        <v>23.99</v>
      </c>
      <c r="F294" s="5" t="s">
        <v>31</v>
      </c>
      <c r="G294" s="13" t="s">
        <v>24</v>
      </c>
      <c r="H294" s="5" t="s">
        <v>31</v>
      </c>
      <c r="I294" s="4" t="s">
        <v>31</v>
      </c>
      <c r="J294" s="4"/>
      <c r="K294" s="4" t="s">
        <v>64</v>
      </c>
      <c r="L294" s="4">
        <v>21</v>
      </c>
      <c r="M294" s="4" t="str">
        <f t="shared" si="32"/>
        <v>H21</v>
      </c>
      <c r="N294" s="4" t="s">
        <v>371</v>
      </c>
      <c r="O294" s="4">
        <v>264</v>
      </c>
      <c r="P294">
        <v>332</v>
      </c>
      <c r="Q294" t="s">
        <v>28</v>
      </c>
      <c r="R294" t="b">
        <f t="shared" si="33"/>
        <v>1</v>
      </c>
      <c r="S294" s="4" t="s">
        <v>763</v>
      </c>
      <c r="T294" s="3">
        <v>1756</v>
      </c>
      <c r="U294" s="4" t="s">
        <v>31</v>
      </c>
      <c r="V294" s="5">
        <v>23.99</v>
      </c>
      <c r="W294" s="5" t="s">
        <v>31</v>
      </c>
      <c r="X294" s="3" t="s">
        <v>764</v>
      </c>
      <c r="Y294" s="12" t="e">
        <f t="shared" si="34"/>
        <v>#VALUE!</v>
      </c>
      <c r="AA294" t="b">
        <f t="shared" si="35"/>
        <v>1</v>
      </c>
      <c r="AB294" s="18" t="s">
        <v>765</v>
      </c>
      <c r="AC294" s="18" t="s">
        <v>763</v>
      </c>
      <c r="AD294" s="26" t="s">
        <v>374</v>
      </c>
      <c r="AE294" s="26"/>
      <c r="AF294" s="26" t="s">
        <v>374</v>
      </c>
      <c r="AG294" s="26" t="s">
        <v>374</v>
      </c>
      <c r="AH294" s="3"/>
      <c r="AL294" s="3">
        <v>1756</v>
      </c>
      <c r="AM294" s="34" t="s">
        <v>374</v>
      </c>
      <c r="AN294" s="17"/>
      <c r="AO294" s="17"/>
      <c r="AP294" s="34"/>
      <c r="AQ294" s="3"/>
      <c r="AR294" s="3"/>
      <c r="AS294" s="4" t="s">
        <v>31</v>
      </c>
    </row>
    <row r="295" spans="1:47" x14ac:dyDescent="0.25">
      <c r="A295" s="4"/>
      <c r="B295" s="4"/>
      <c r="C295" s="4">
        <v>237</v>
      </c>
      <c r="D295" s="4" t="s">
        <v>766</v>
      </c>
      <c r="E295" s="5">
        <v>23.716999999999999</v>
      </c>
      <c r="F295" s="5" t="s">
        <v>31</v>
      </c>
      <c r="G295" s="13" t="s">
        <v>24</v>
      </c>
      <c r="H295" s="5" t="s">
        <v>31</v>
      </c>
      <c r="I295" s="4" t="s">
        <v>31</v>
      </c>
      <c r="J295" s="4"/>
      <c r="K295" s="4" t="s">
        <v>67</v>
      </c>
      <c r="L295" s="4">
        <v>21</v>
      </c>
      <c r="M295" s="4" t="str">
        <f t="shared" si="32"/>
        <v>J21</v>
      </c>
      <c r="N295" s="4" t="s">
        <v>385</v>
      </c>
      <c r="O295" s="4">
        <v>354</v>
      </c>
      <c r="P295">
        <v>333</v>
      </c>
      <c r="Q295" t="s">
        <v>28</v>
      </c>
      <c r="R295" t="b">
        <f t="shared" si="33"/>
        <v>1</v>
      </c>
      <c r="S295" s="4" t="s">
        <v>766</v>
      </c>
      <c r="T295" s="3">
        <v>1757</v>
      </c>
      <c r="U295" s="4" t="s">
        <v>31</v>
      </c>
      <c r="V295" s="5">
        <v>23.716999999999999</v>
      </c>
      <c r="W295" s="5" t="s">
        <v>31</v>
      </c>
      <c r="X295" s="3" t="s">
        <v>767</v>
      </c>
      <c r="Y295" s="12" t="e">
        <f t="shared" si="34"/>
        <v>#VALUE!</v>
      </c>
      <c r="AA295" t="b">
        <f t="shared" si="35"/>
        <v>1</v>
      </c>
      <c r="AB295" s="18" t="s">
        <v>768</v>
      </c>
      <c r="AC295" s="18" t="s">
        <v>766</v>
      </c>
      <c r="AD295" s="26" t="s">
        <v>374</v>
      </c>
      <c r="AE295" s="26"/>
      <c r="AF295" s="26" t="s">
        <v>374</v>
      </c>
      <c r="AG295" s="26" t="s">
        <v>374</v>
      </c>
      <c r="AH295" s="3"/>
      <c r="AL295" s="3">
        <v>1757</v>
      </c>
      <c r="AM295" s="34" t="s">
        <v>374</v>
      </c>
      <c r="AN295" s="17"/>
      <c r="AO295" s="17"/>
      <c r="AP295" s="34"/>
      <c r="AQ295" s="3"/>
      <c r="AR295" s="3"/>
      <c r="AS295" s="4" t="s">
        <v>31</v>
      </c>
    </row>
    <row r="296" spans="1:47" x14ac:dyDescent="0.25">
      <c r="A296" s="4"/>
      <c r="B296" s="4"/>
      <c r="C296" s="4">
        <v>285</v>
      </c>
      <c r="D296" s="4" t="s">
        <v>769</v>
      </c>
      <c r="E296" s="5">
        <v>24.097999999999999</v>
      </c>
      <c r="F296" s="5" t="s">
        <v>31</v>
      </c>
      <c r="G296" s="13" t="s">
        <v>24</v>
      </c>
      <c r="H296" s="5" t="s">
        <v>31</v>
      </c>
      <c r="I296" s="4" t="s">
        <v>31</v>
      </c>
      <c r="J296" s="4"/>
      <c r="K296" s="4" t="s">
        <v>70</v>
      </c>
      <c r="L296" s="4">
        <v>21</v>
      </c>
      <c r="M296" s="4" t="str">
        <f t="shared" si="32"/>
        <v>L21</v>
      </c>
      <c r="N296" s="4" t="s">
        <v>385</v>
      </c>
      <c r="O296" s="4">
        <v>356</v>
      </c>
      <c r="P296">
        <v>334</v>
      </c>
      <c r="Q296" t="s">
        <v>28</v>
      </c>
      <c r="R296" t="b">
        <f t="shared" si="33"/>
        <v>1</v>
      </c>
      <c r="S296" s="4" t="s">
        <v>769</v>
      </c>
      <c r="T296" s="3">
        <v>1758</v>
      </c>
      <c r="U296" s="4" t="s">
        <v>31</v>
      </c>
      <c r="V296" s="5">
        <v>24.097999999999999</v>
      </c>
      <c r="W296" s="5" t="s">
        <v>31</v>
      </c>
      <c r="X296" s="3" t="s">
        <v>770</v>
      </c>
      <c r="Y296" s="12" t="e">
        <f t="shared" si="34"/>
        <v>#VALUE!</v>
      </c>
      <c r="AA296" t="b">
        <f t="shared" si="35"/>
        <v>1</v>
      </c>
      <c r="AB296" s="18" t="s">
        <v>771</v>
      </c>
      <c r="AC296" s="18" t="s">
        <v>769</v>
      </c>
      <c r="AD296" s="26" t="s">
        <v>374</v>
      </c>
      <c r="AE296" s="26"/>
      <c r="AF296" s="26" t="s">
        <v>374</v>
      </c>
      <c r="AG296" s="26" t="s">
        <v>374</v>
      </c>
      <c r="AH296" s="3"/>
      <c r="AL296" s="3">
        <v>1758</v>
      </c>
      <c r="AM296" s="34" t="s">
        <v>374</v>
      </c>
      <c r="AN296" s="17"/>
      <c r="AO296" s="17"/>
      <c r="AP296" s="34"/>
      <c r="AQ296" s="3"/>
      <c r="AR296" s="3"/>
      <c r="AS296" s="4" t="s">
        <v>31</v>
      </c>
    </row>
    <row r="297" spans="1:47" x14ac:dyDescent="0.25">
      <c r="A297" s="4"/>
      <c r="B297" s="4"/>
      <c r="C297" s="4">
        <v>333</v>
      </c>
      <c r="D297" s="4" t="s">
        <v>772</v>
      </c>
      <c r="E297" s="5">
        <v>24.911999999999999</v>
      </c>
      <c r="F297" s="5">
        <v>27.006</v>
      </c>
      <c r="G297" s="13" t="s">
        <v>24</v>
      </c>
      <c r="H297" s="5" t="s">
        <v>24</v>
      </c>
      <c r="I297" s="4" t="s">
        <v>25</v>
      </c>
      <c r="J297" s="4"/>
      <c r="K297" s="4" t="s">
        <v>73</v>
      </c>
      <c r="L297" s="4">
        <v>21</v>
      </c>
      <c r="M297" s="4" t="str">
        <f t="shared" si="32"/>
        <v>N21</v>
      </c>
      <c r="N297" s="4" t="s">
        <v>385</v>
      </c>
      <c r="O297" s="4">
        <v>358</v>
      </c>
      <c r="P297">
        <v>335</v>
      </c>
      <c r="Q297" t="s">
        <v>28</v>
      </c>
      <c r="R297" t="b">
        <f t="shared" si="33"/>
        <v>1</v>
      </c>
      <c r="S297" s="4" t="s">
        <v>772</v>
      </c>
      <c r="T297" s="3">
        <v>1759</v>
      </c>
      <c r="U297" s="4" t="s">
        <v>25</v>
      </c>
      <c r="V297" s="5">
        <v>24.911999999999999</v>
      </c>
      <c r="W297" s="5">
        <v>27.006</v>
      </c>
      <c r="X297" s="3" t="s">
        <v>773</v>
      </c>
      <c r="Y297" s="12">
        <f t="shared" si="34"/>
        <v>-2.0940000000000012</v>
      </c>
      <c r="AA297" t="b">
        <f t="shared" si="35"/>
        <v>1</v>
      </c>
      <c r="AB297" s="18" t="s">
        <v>774</v>
      </c>
      <c r="AC297" s="18" t="s">
        <v>772</v>
      </c>
      <c r="AD297" s="26">
        <v>706.96</v>
      </c>
      <c r="AE297" s="26"/>
      <c r="AF297" s="26">
        <v>114</v>
      </c>
      <c r="AG297" s="26">
        <v>2372</v>
      </c>
      <c r="AH297" s="3"/>
      <c r="AL297" s="3">
        <v>1759</v>
      </c>
      <c r="AM297" s="34">
        <v>706.96</v>
      </c>
      <c r="AN297" s="40">
        <f>(AM297-122)/3</f>
        <v>194.98666666666668</v>
      </c>
      <c r="AO297" s="40">
        <f>AN297*1.0425+1.2088</f>
        <v>204.48240000000001</v>
      </c>
      <c r="AP297" s="34"/>
      <c r="AQ297" s="3"/>
      <c r="AR297" s="3"/>
      <c r="AS297" s="4" t="s">
        <v>25</v>
      </c>
    </row>
    <row r="298" spans="1:47" x14ac:dyDescent="0.25">
      <c r="A298" s="4"/>
      <c r="B298" s="4"/>
      <c r="C298" s="4">
        <v>381</v>
      </c>
      <c r="D298" s="4" t="s">
        <v>775</v>
      </c>
      <c r="E298" s="5">
        <v>24.349</v>
      </c>
      <c r="F298" s="5">
        <v>26.206</v>
      </c>
      <c r="G298" s="13" t="s">
        <v>24</v>
      </c>
      <c r="H298" s="5" t="s">
        <v>24</v>
      </c>
      <c r="I298" s="4" t="s">
        <v>25</v>
      </c>
      <c r="J298" s="4"/>
      <c r="K298" s="4" t="s">
        <v>76</v>
      </c>
      <c r="L298" s="4">
        <v>21</v>
      </c>
      <c r="M298" s="4" t="str">
        <f t="shared" si="32"/>
        <v>P21</v>
      </c>
      <c r="N298" s="4" t="s">
        <v>385</v>
      </c>
      <c r="O298" s="4">
        <v>360</v>
      </c>
      <c r="P298">
        <v>336</v>
      </c>
      <c r="Q298" t="s">
        <v>28</v>
      </c>
      <c r="R298" t="b">
        <f t="shared" si="33"/>
        <v>1</v>
      </c>
      <c r="S298" s="4" t="s">
        <v>775</v>
      </c>
      <c r="T298" s="3">
        <v>1760</v>
      </c>
      <c r="U298" s="4" t="s">
        <v>25</v>
      </c>
      <c r="V298" s="5">
        <v>24.349</v>
      </c>
      <c r="W298" s="5">
        <v>26.206</v>
      </c>
      <c r="X298" s="3" t="s">
        <v>776</v>
      </c>
      <c r="Y298" s="12">
        <f t="shared" si="34"/>
        <v>-1.8569999999999993</v>
      </c>
      <c r="AA298" t="b">
        <f t="shared" si="35"/>
        <v>1</v>
      </c>
      <c r="AB298" s="18" t="s">
        <v>777</v>
      </c>
      <c r="AC298" s="18" t="s">
        <v>775</v>
      </c>
      <c r="AD298" s="26">
        <v>712.24</v>
      </c>
      <c r="AE298" s="26"/>
      <c r="AF298" s="26">
        <v>166</v>
      </c>
      <c r="AG298" s="26">
        <v>3744</v>
      </c>
      <c r="AH298" s="3"/>
      <c r="AL298" s="3">
        <v>1760</v>
      </c>
      <c r="AM298" s="34">
        <v>712.24</v>
      </c>
      <c r="AN298" s="40">
        <f>(AM298-122)/3</f>
        <v>196.74666666666667</v>
      </c>
      <c r="AO298" s="40">
        <f>AN298*1.0425+1.2088</f>
        <v>206.31719999999999</v>
      </c>
      <c r="AP298" s="34"/>
      <c r="AQ298" s="3"/>
      <c r="AR298" s="3"/>
      <c r="AS298" s="4" t="s">
        <v>25</v>
      </c>
    </row>
    <row r="299" spans="1:47" x14ac:dyDescent="0.25">
      <c r="A299" s="4"/>
      <c r="B299" s="4"/>
      <c r="C299" s="4">
        <v>22</v>
      </c>
      <c r="D299" s="4" t="s">
        <v>778</v>
      </c>
      <c r="E299" s="5">
        <v>25.044</v>
      </c>
      <c r="F299" s="5">
        <v>26.887</v>
      </c>
      <c r="G299" s="13" t="s">
        <v>24</v>
      </c>
      <c r="H299" s="5" t="s">
        <v>24</v>
      </c>
      <c r="I299" s="4" t="s">
        <v>25</v>
      </c>
      <c r="J299" s="4"/>
      <c r="K299" s="4" t="s">
        <v>26</v>
      </c>
      <c r="L299" s="4">
        <v>22</v>
      </c>
      <c r="M299" s="4" t="str">
        <f t="shared" si="32"/>
        <v>A22</v>
      </c>
      <c r="N299" s="4" t="s">
        <v>371</v>
      </c>
      <c r="O299" s="4">
        <v>265</v>
      </c>
      <c r="P299">
        <v>337</v>
      </c>
      <c r="Q299" t="s">
        <v>28</v>
      </c>
      <c r="R299" t="b">
        <f t="shared" si="33"/>
        <v>1</v>
      </c>
      <c r="S299" s="4" t="s">
        <v>778</v>
      </c>
      <c r="T299" s="3">
        <v>1761</v>
      </c>
      <c r="U299" s="4" t="s">
        <v>25</v>
      </c>
      <c r="V299" s="5">
        <v>25.044</v>
      </c>
      <c r="W299" s="5">
        <v>26.887</v>
      </c>
      <c r="X299" s="3" t="s">
        <v>779</v>
      </c>
      <c r="Y299" s="12">
        <f t="shared" si="34"/>
        <v>-1.843</v>
      </c>
      <c r="AA299" t="b">
        <f t="shared" si="35"/>
        <v>1</v>
      </c>
      <c r="AB299" s="18" t="s">
        <v>780</v>
      </c>
      <c r="AC299" s="18" t="s">
        <v>778</v>
      </c>
      <c r="AD299" s="26">
        <v>706.57</v>
      </c>
      <c r="AE299" s="26"/>
      <c r="AF299" s="26">
        <v>73</v>
      </c>
      <c r="AG299" s="26">
        <v>1548</v>
      </c>
      <c r="AH299" s="3"/>
      <c r="AL299" s="3">
        <v>1761</v>
      </c>
      <c r="AM299" s="34">
        <v>706.57</v>
      </c>
      <c r="AN299" s="40">
        <f>(AM299-122)/3</f>
        <v>194.85666666666668</v>
      </c>
      <c r="AO299" s="40">
        <f>AN299*1.0425+1.2088</f>
        <v>204.34687500000001</v>
      </c>
      <c r="AP299" s="34"/>
      <c r="AQ299" s="3"/>
      <c r="AR299" s="3"/>
      <c r="AS299" s="4" t="s">
        <v>25</v>
      </c>
    </row>
    <row r="300" spans="1:47" x14ac:dyDescent="0.25">
      <c r="A300" s="4"/>
      <c r="B300" s="4"/>
      <c r="C300" s="4">
        <v>70</v>
      </c>
      <c r="D300" s="4" t="s">
        <v>63</v>
      </c>
      <c r="E300" s="5" t="s">
        <v>31</v>
      </c>
      <c r="F300" s="5">
        <v>27.443999999999999</v>
      </c>
      <c r="G300" s="13" t="s">
        <v>31</v>
      </c>
      <c r="H300" s="5" t="s">
        <v>24</v>
      </c>
      <c r="I300" s="4" t="s">
        <v>63</v>
      </c>
      <c r="J300" s="4"/>
      <c r="K300" s="4" t="s">
        <v>32</v>
      </c>
      <c r="L300" s="4">
        <v>22</v>
      </c>
      <c r="M300" s="4" t="str">
        <f t="shared" si="32"/>
        <v>C22</v>
      </c>
      <c r="N300" s="4" t="s">
        <v>371</v>
      </c>
      <c r="O300" s="4">
        <v>267</v>
      </c>
      <c r="P300">
        <v>338</v>
      </c>
      <c r="Q300" t="s">
        <v>28</v>
      </c>
      <c r="R300" t="b">
        <f t="shared" si="33"/>
        <v>1</v>
      </c>
      <c r="S300" s="4" t="s">
        <v>63</v>
      </c>
      <c r="T300" s="3"/>
      <c r="U300" s="4" t="s">
        <v>63</v>
      </c>
      <c r="V300" s="5" t="s">
        <v>31</v>
      </c>
      <c r="W300" s="5">
        <v>27.443999999999999</v>
      </c>
      <c r="X300" s="3" t="s">
        <v>781</v>
      </c>
      <c r="Y300" s="12" t="e">
        <f t="shared" si="34"/>
        <v>#VALUE!</v>
      </c>
      <c r="AA300" t="b">
        <f t="shared" si="35"/>
        <v>0</v>
      </c>
      <c r="AB300" s="18" t="s">
        <v>782</v>
      </c>
      <c r="AC300" s="18" t="s">
        <v>783</v>
      </c>
      <c r="AD300" s="26">
        <v>591.64</v>
      </c>
      <c r="AE300" s="26"/>
      <c r="AF300" s="26">
        <v>1164</v>
      </c>
      <c r="AG300" s="26">
        <v>21320</v>
      </c>
      <c r="AH300" s="3"/>
      <c r="AL300" s="3"/>
      <c r="AM300" s="34">
        <v>591.64</v>
      </c>
      <c r="AN300" s="40">
        <f>(AM300-122)/3</f>
        <v>156.54666666666665</v>
      </c>
      <c r="AO300" s="40">
        <f>AN300*1.0425+1.2088</f>
        <v>164.40869999999998</v>
      </c>
      <c r="AP300" s="34"/>
      <c r="AQ300" s="3"/>
      <c r="AR300" s="3"/>
      <c r="AS300" s="4" t="s">
        <v>63</v>
      </c>
    </row>
    <row r="301" spans="1:47" x14ac:dyDescent="0.25">
      <c r="A301" s="4"/>
      <c r="B301" s="4"/>
      <c r="C301" s="4">
        <v>118</v>
      </c>
      <c r="D301" s="4" t="s">
        <v>25</v>
      </c>
      <c r="E301" s="5">
        <v>27.481999999999999</v>
      </c>
      <c r="F301" s="5">
        <v>29.885000000000002</v>
      </c>
      <c r="G301" s="13" t="s">
        <v>24</v>
      </c>
      <c r="H301" s="5" t="s">
        <v>24</v>
      </c>
      <c r="I301" s="4" t="s">
        <v>25</v>
      </c>
      <c r="J301" s="4"/>
      <c r="K301" s="4" t="s">
        <v>35</v>
      </c>
      <c r="L301" s="4">
        <v>22</v>
      </c>
      <c r="M301" s="4" t="str">
        <f t="shared" si="32"/>
        <v>E22</v>
      </c>
      <c r="N301" s="4" t="s">
        <v>371</v>
      </c>
      <c r="O301" s="4">
        <v>269</v>
      </c>
      <c r="P301">
        <v>339</v>
      </c>
      <c r="Q301" t="s">
        <v>28</v>
      </c>
      <c r="R301" t="b">
        <f t="shared" si="33"/>
        <v>1</v>
      </c>
      <c r="S301" s="4" t="s">
        <v>25</v>
      </c>
      <c r="T301" s="3"/>
      <c r="U301" s="4" t="s">
        <v>25</v>
      </c>
      <c r="V301" s="5">
        <v>27.481999999999999</v>
      </c>
      <c r="W301" s="5">
        <v>29.885000000000002</v>
      </c>
      <c r="X301" s="3" t="s">
        <v>784</v>
      </c>
      <c r="Y301" s="12">
        <f t="shared" si="34"/>
        <v>-2.4030000000000022</v>
      </c>
      <c r="AA301" t="b">
        <f t="shared" si="35"/>
        <v>0</v>
      </c>
      <c r="AB301" s="18" t="s">
        <v>785</v>
      </c>
      <c r="AC301" s="18" t="s">
        <v>786</v>
      </c>
      <c r="AD301" s="26" t="s">
        <v>374</v>
      </c>
      <c r="AE301" s="26"/>
      <c r="AF301" s="26" t="s">
        <v>374</v>
      </c>
      <c r="AG301" s="26" t="s">
        <v>374</v>
      </c>
      <c r="AH301" s="3"/>
      <c r="AL301" s="3" t="s">
        <v>789</v>
      </c>
      <c r="AM301" s="3" t="s">
        <v>789</v>
      </c>
      <c r="AN301" s="3" t="s">
        <v>789</v>
      </c>
      <c r="AO301" s="3" t="s">
        <v>789</v>
      </c>
      <c r="AP301" s="3" t="s">
        <v>789</v>
      </c>
      <c r="AQ301" s="3" t="s">
        <v>789</v>
      </c>
      <c r="AR301" s="3" t="s">
        <v>789</v>
      </c>
      <c r="AS301" s="4" t="s">
        <v>25</v>
      </c>
    </row>
    <row r="302" spans="1:47" x14ac:dyDescent="0.25">
      <c r="A302" s="4"/>
      <c r="B302" s="4"/>
      <c r="C302" s="4">
        <v>166</v>
      </c>
      <c r="D302" s="4" t="s">
        <v>31</v>
      </c>
      <c r="E302" s="5">
        <v>29.079000000000001</v>
      </c>
      <c r="F302" s="5" t="s">
        <v>31</v>
      </c>
      <c r="G302" s="13" t="s">
        <v>24</v>
      </c>
      <c r="H302" s="5" t="s">
        <v>31</v>
      </c>
      <c r="I302" s="4" t="s">
        <v>31</v>
      </c>
      <c r="J302" s="4"/>
      <c r="K302" s="4" t="s">
        <v>38</v>
      </c>
      <c r="L302" s="4">
        <v>22</v>
      </c>
      <c r="M302" s="4" t="str">
        <f t="shared" si="32"/>
        <v>G22</v>
      </c>
      <c r="N302" s="4" t="s">
        <v>371</v>
      </c>
      <c r="O302" s="4">
        <v>271</v>
      </c>
      <c r="P302">
        <v>340</v>
      </c>
      <c r="Q302" t="s">
        <v>28</v>
      </c>
      <c r="R302" t="b">
        <f t="shared" si="33"/>
        <v>1</v>
      </c>
      <c r="S302" s="4" t="s">
        <v>31</v>
      </c>
      <c r="T302" s="3"/>
      <c r="U302" s="4" t="s">
        <v>31</v>
      </c>
      <c r="V302" s="5">
        <v>29.079000000000001</v>
      </c>
      <c r="W302" s="5" t="s">
        <v>31</v>
      </c>
      <c r="X302" s="3" t="s">
        <v>787</v>
      </c>
      <c r="Y302" s="12" t="e">
        <f t="shared" si="34"/>
        <v>#VALUE!</v>
      </c>
      <c r="AA302" t="b">
        <f t="shared" si="35"/>
        <v>0</v>
      </c>
      <c r="AB302" s="18" t="s">
        <v>788</v>
      </c>
      <c r="AC302" s="18"/>
      <c r="AD302" s="26" t="s">
        <v>789</v>
      </c>
      <c r="AE302" s="26" t="s">
        <v>789</v>
      </c>
      <c r="AF302" s="26" t="s">
        <v>789</v>
      </c>
      <c r="AG302" s="26" t="s">
        <v>789</v>
      </c>
      <c r="AH302" s="3"/>
      <c r="AL302" s="3" t="s">
        <v>789</v>
      </c>
      <c r="AM302" s="34" t="s">
        <v>789</v>
      </c>
      <c r="AN302" s="34" t="s">
        <v>789</v>
      </c>
      <c r="AO302" s="34" t="s">
        <v>789</v>
      </c>
      <c r="AP302" s="34" t="s">
        <v>789</v>
      </c>
      <c r="AQ302" s="26" t="s">
        <v>789</v>
      </c>
      <c r="AR302" s="26" t="s">
        <v>789</v>
      </c>
      <c r="AS302" s="4" t="s">
        <v>31</v>
      </c>
      <c r="AU302" s="41" t="s">
        <v>1063</v>
      </c>
    </row>
    <row r="303" spans="1:47" x14ac:dyDescent="0.25">
      <c r="A303" s="4"/>
      <c r="B303" s="4"/>
      <c r="C303" s="4">
        <v>46</v>
      </c>
      <c r="D303" s="4" t="s">
        <v>790</v>
      </c>
      <c r="E303" s="5">
        <v>23.995999999999999</v>
      </c>
      <c r="F303" s="5" t="s">
        <v>31</v>
      </c>
      <c r="G303" s="13" t="s">
        <v>24</v>
      </c>
      <c r="H303" s="5" t="s">
        <v>31</v>
      </c>
      <c r="I303" s="4" t="s">
        <v>31</v>
      </c>
      <c r="J303" s="4"/>
      <c r="K303" s="4" t="s">
        <v>54</v>
      </c>
      <c r="L303" s="4">
        <v>22</v>
      </c>
      <c r="M303" s="4" t="str">
        <f t="shared" si="32"/>
        <v>B22</v>
      </c>
      <c r="N303" s="4" t="s">
        <v>371</v>
      </c>
      <c r="O303" s="4">
        <v>266</v>
      </c>
      <c r="P303">
        <v>345</v>
      </c>
      <c r="Q303" t="s">
        <v>28</v>
      </c>
      <c r="R303" t="b">
        <f t="shared" si="33"/>
        <v>1</v>
      </c>
      <c r="S303" s="4" t="s">
        <v>790</v>
      </c>
      <c r="T303" s="3">
        <v>1151</v>
      </c>
      <c r="U303" s="4" t="s">
        <v>31</v>
      </c>
      <c r="V303" s="5">
        <v>23.995999999999999</v>
      </c>
      <c r="W303" s="5" t="s">
        <v>31</v>
      </c>
      <c r="X303" s="3" t="s">
        <v>791</v>
      </c>
      <c r="Y303" s="12" t="e">
        <f t="shared" si="34"/>
        <v>#VALUE!</v>
      </c>
      <c r="AA303" t="b">
        <f t="shared" si="35"/>
        <v>1</v>
      </c>
      <c r="AB303" s="18" t="s">
        <v>792</v>
      </c>
      <c r="AC303" s="18" t="s">
        <v>790</v>
      </c>
      <c r="AD303" s="26" t="s">
        <v>374</v>
      </c>
      <c r="AE303" s="26"/>
      <c r="AF303" s="26" t="s">
        <v>374</v>
      </c>
      <c r="AG303" s="26" t="s">
        <v>374</v>
      </c>
      <c r="AH303" s="3"/>
      <c r="AL303" s="3">
        <v>1151</v>
      </c>
      <c r="AM303" s="34" t="s">
        <v>374</v>
      </c>
      <c r="AN303" s="17"/>
      <c r="AO303" s="17"/>
      <c r="AP303" s="34"/>
      <c r="AQ303" s="3"/>
      <c r="AR303" s="3"/>
      <c r="AS303" s="4" t="s">
        <v>31</v>
      </c>
      <c r="AU303" s="3" t="s">
        <v>31</v>
      </c>
    </row>
    <row r="304" spans="1:47" x14ac:dyDescent="0.25">
      <c r="A304" s="4"/>
      <c r="B304" s="4"/>
      <c r="C304" s="4">
        <v>94</v>
      </c>
      <c r="D304" s="4" t="s">
        <v>793</v>
      </c>
      <c r="E304" s="5">
        <v>25.263000000000002</v>
      </c>
      <c r="F304" s="5">
        <v>26.97</v>
      </c>
      <c r="G304" s="13" t="s">
        <v>24</v>
      </c>
      <c r="H304" s="5" t="s">
        <v>24</v>
      </c>
      <c r="I304" s="4" t="s">
        <v>25</v>
      </c>
      <c r="J304" s="4"/>
      <c r="K304" s="4" t="s">
        <v>57</v>
      </c>
      <c r="L304" s="4">
        <v>22</v>
      </c>
      <c r="M304" s="4" t="str">
        <f t="shared" si="32"/>
        <v>D22</v>
      </c>
      <c r="N304" s="4" t="s">
        <v>371</v>
      </c>
      <c r="O304" s="4">
        <v>268</v>
      </c>
      <c r="P304">
        <v>346</v>
      </c>
      <c r="Q304" t="s">
        <v>28</v>
      </c>
      <c r="R304" t="b">
        <f t="shared" si="33"/>
        <v>1</v>
      </c>
      <c r="S304" s="4" t="s">
        <v>793</v>
      </c>
      <c r="T304" s="3">
        <v>1152</v>
      </c>
      <c r="U304" s="4" t="s">
        <v>25</v>
      </c>
      <c r="V304" s="5">
        <v>25.263000000000002</v>
      </c>
      <c r="W304" s="5">
        <v>26.97</v>
      </c>
      <c r="X304" s="3" t="s">
        <v>794</v>
      </c>
      <c r="Y304" s="12">
        <f t="shared" si="34"/>
        <v>-1.7069999999999972</v>
      </c>
      <c r="AA304" t="b">
        <f t="shared" si="35"/>
        <v>1</v>
      </c>
      <c r="AB304" s="18" t="s">
        <v>795</v>
      </c>
      <c r="AC304" s="18" t="s">
        <v>793</v>
      </c>
      <c r="AD304" s="26">
        <v>686.9</v>
      </c>
      <c r="AE304" s="26"/>
      <c r="AF304" s="26">
        <v>96</v>
      </c>
      <c r="AG304" s="26">
        <v>1978</v>
      </c>
      <c r="AH304" s="3"/>
      <c r="AL304" s="3">
        <v>1152</v>
      </c>
      <c r="AM304" s="34">
        <v>686.9</v>
      </c>
      <c r="AN304" s="40">
        <f>(AM304-122)/3</f>
        <v>188.29999999999998</v>
      </c>
      <c r="AO304" s="40">
        <f>AN304*1.0425+1.2088</f>
        <v>197.51154999999997</v>
      </c>
      <c r="AP304" s="34"/>
      <c r="AQ304" s="3"/>
      <c r="AR304" s="3"/>
      <c r="AS304" s="4" t="s">
        <v>25</v>
      </c>
      <c r="AU304" s="3" t="s">
        <v>1064</v>
      </c>
    </row>
    <row r="305" spans="1:47" x14ac:dyDescent="0.25">
      <c r="A305" s="4"/>
      <c r="B305" s="4"/>
      <c r="C305" s="4">
        <v>142</v>
      </c>
      <c r="D305" s="4" t="s">
        <v>796</v>
      </c>
      <c r="E305" s="5">
        <v>23.558</v>
      </c>
      <c r="F305" s="5">
        <v>36.978999999999999</v>
      </c>
      <c r="G305" s="13" t="s">
        <v>24</v>
      </c>
      <c r="H305" s="5" t="s">
        <v>19</v>
      </c>
      <c r="I305" s="5" t="s">
        <v>31</v>
      </c>
      <c r="J305" s="4"/>
      <c r="K305" s="4" t="s">
        <v>60</v>
      </c>
      <c r="L305" s="4">
        <v>22</v>
      </c>
      <c r="M305" s="4" t="str">
        <f t="shared" si="32"/>
        <v>F22</v>
      </c>
      <c r="N305" s="4" t="s">
        <v>371</v>
      </c>
      <c r="O305" s="4">
        <v>270</v>
      </c>
      <c r="P305">
        <v>347</v>
      </c>
      <c r="Q305" t="s">
        <v>28</v>
      </c>
      <c r="R305" t="b">
        <f t="shared" si="33"/>
        <v>1</v>
      </c>
      <c r="S305" s="4" t="s">
        <v>796</v>
      </c>
      <c r="T305" s="3">
        <v>1153</v>
      </c>
      <c r="U305" s="5" t="s">
        <v>31</v>
      </c>
      <c r="V305" s="5">
        <v>23.558</v>
      </c>
      <c r="W305" s="5">
        <v>36.978999999999999</v>
      </c>
      <c r="X305" s="3" t="s">
        <v>797</v>
      </c>
      <c r="Y305" s="12">
        <f t="shared" si="34"/>
        <v>-13.420999999999999</v>
      </c>
      <c r="AA305" t="b">
        <f t="shared" si="35"/>
        <v>1</v>
      </c>
      <c r="AB305" s="18" t="s">
        <v>798</v>
      </c>
      <c r="AC305" s="18" t="s">
        <v>796</v>
      </c>
      <c r="AD305" s="26" t="s">
        <v>374</v>
      </c>
      <c r="AE305" s="26"/>
      <c r="AF305" s="26" t="s">
        <v>374</v>
      </c>
      <c r="AG305" s="26" t="s">
        <v>374</v>
      </c>
      <c r="AH305" s="3"/>
      <c r="AL305" s="3">
        <v>1153</v>
      </c>
      <c r="AM305" s="34" t="s">
        <v>374</v>
      </c>
      <c r="AN305" s="17"/>
      <c r="AO305" s="17"/>
      <c r="AP305" s="34"/>
      <c r="AQ305" s="3"/>
      <c r="AR305" s="3"/>
      <c r="AS305" s="5" t="s">
        <v>31</v>
      </c>
      <c r="AU305" s="3" t="s">
        <v>31</v>
      </c>
    </row>
    <row r="306" spans="1:47" x14ac:dyDescent="0.25">
      <c r="A306" s="4"/>
      <c r="B306" s="4"/>
      <c r="C306" s="4">
        <v>190</v>
      </c>
      <c r="D306" s="4" t="s">
        <v>799</v>
      </c>
      <c r="E306" s="5">
        <v>23.802</v>
      </c>
      <c r="F306" s="5" t="s">
        <v>31</v>
      </c>
      <c r="G306" s="13" t="s">
        <v>24</v>
      </c>
      <c r="H306" s="5" t="s">
        <v>31</v>
      </c>
      <c r="I306" s="4" t="s">
        <v>31</v>
      </c>
      <c r="J306" s="4"/>
      <c r="K306" s="4" t="s">
        <v>64</v>
      </c>
      <c r="L306" s="4">
        <v>22</v>
      </c>
      <c r="M306" s="4" t="str">
        <f t="shared" si="32"/>
        <v>H22</v>
      </c>
      <c r="N306" s="4" t="s">
        <v>371</v>
      </c>
      <c r="O306" s="4">
        <v>272</v>
      </c>
      <c r="P306">
        <v>348</v>
      </c>
      <c r="Q306" t="s">
        <v>28</v>
      </c>
      <c r="R306" t="b">
        <f t="shared" si="33"/>
        <v>1</v>
      </c>
      <c r="S306" s="4" t="s">
        <v>799</v>
      </c>
      <c r="T306" s="3">
        <v>1154</v>
      </c>
      <c r="U306" s="4" t="s">
        <v>31</v>
      </c>
      <c r="V306" s="5">
        <v>23.802</v>
      </c>
      <c r="W306" s="5" t="s">
        <v>31</v>
      </c>
      <c r="X306" s="3" t="s">
        <v>800</v>
      </c>
      <c r="Y306" s="12" t="e">
        <f t="shared" si="34"/>
        <v>#VALUE!</v>
      </c>
      <c r="AA306" t="b">
        <f t="shared" si="35"/>
        <v>1</v>
      </c>
      <c r="AB306" s="18" t="s">
        <v>801</v>
      </c>
      <c r="AC306" s="18" t="s">
        <v>799</v>
      </c>
      <c r="AD306" s="26" t="s">
        <v>374</v>
      </c>
      <c r="AE306" s="26"/>
      <c r="AF306" s="26" t="s">
        <v>374</v>
      </c>
      <c r="AG306" s="26" t="s">
        <v>374</v>
      </c>
      <c r="AH306" s="3"/>
      <c r="AL306" s="3">
        <v>1154</v>
      </c>
      <c r="AM306" s="34" t="s">
        <v>374</v>
      </c>
      <c r="AN306" s="17"/>
      <c r="AO306" s="17"/>
      <c r="AP306" s="34"/>
      <c r="AQ306" s="3"/>
      <c r="AR306" s="3"/>
      <c r="AS306" s="4" t="s">
        <v>31</v>
      </c>
      <c r="AU306" s="3" t="s">
        <v>31</v>
      </c>
    </row>
    <row r="307" spans="1:47" x14ac:dyDescent="0.25">
      <c r="A307" s="4"/>
      <c r="B307" s="4"/>
      <c r="C307" s="4">
        <v>238</v>
      </c>
      <c r="D307" s="4" t="s">
        <v>802</v>
      </c>
      <c r="E307" s="5">
        <v>24.192</v>
      </c>
      <c r="F307" s="5">
        <v>26.734999999999999</v>
      </c>
      <c r="G307" s="13" t="s">
        <v>24</v>
      </c>
      <c r="H307" s="5" t="s">
        <v>24</v>
      </c>
      <c r="I307" s="4" t="s">
        <v>25</v>
      </c>
      <c r="J307" s="4"/>
      <c r="K307" s="4" t="s">
        <v>67</v>
      </c>
      <c r="L307" s="4">
        <v>22</v>
      </c>
      <c r="M307" s="4" t="str">
        <f t="shared" si="32"/>
        <v>J22</v>
      </c>
      <c r="N307" s="4" t="s">
        <v>385</v>
      </c>
      <c r="O307" s="4">
        <v>362</v>
      </c>
      <c r="P307">
        <v>349</v>
      </c>
      <c r="Q307" t="s">
        <v>28</v>
      </c>
      <c r="R307" t="b">
        <f t="shared" si="33"/>
        <v>1</v>
      </c>
      <c r="S307" s="4" t="s">
        <v>802</v>
      </c>
      <c r="T307" s="3">
        <v>1155</v>
      </c>
      <c r="U307" s="4" t="s">
        <v>25</v>
      </c>
      <c r="V307" s="5">
        <v>24.192</v>
      </c>
      <c r="W307" s="5">
        <v>26.734999999999999</v>
      </c>
      <c r="X307" s="3" t="s">
        <v>803</v>
      </c>
      <c r="Y307" s="12">
        <f t="shared" si="34"/>
        <v>-2.5429999999999993</v>
      </c>
      <c r="AA307" t="b">
        <f t="shared" si="35"/>
        <v>1</v>
      </c>
      <c r="AB307" s="18" t="s">
        <v>804</v>
      </c>
      <c r="AC307" s="18" t="s">
        <v>802</v>
      </c>
      <c r="AD307" s="26">
        <v>686.92</v>
      </c>
      <c r="AE307" s="26"/>
      <c r="AF307" s="26">
        <v>152</v>
      </c>
      <c r="AG307" s="26">
        <v>2930</v>
      </c>
      <c r="AH307" s="3"/>
      <c r="AL307" s="3">
        <v>1155</v>
      </c>
      <c r="AM307" s="34">
        <v>686.92</v>
      </c>
      <c r="AN307" s="40">
        <f>(AM307-122)/3</f>
        <v>188.30666666666664</v>
      </c>
      <c r="AO307" s="40">
        <f>AN307*1.0425+1.2088</f>
        <v>197.51849999999996</v>
      </c>
      <c r="AP307" s="34"/>
      <c r="AQ307" s="3"/>
      <c r="AR307" s="3"/>
      <c r="AS307" s="4" t="s">
        <v>25</v>
      </c>
      <c r="AU307" s="3" t="s">
        <v>1064</v>
      </c>
    </row>
    <row r="308" spans="1:47" x14ac:dyDescent="0.25">
      <c r="A308" s="4"/>
      <c r="B308" s="4"/>
      <c r="C308" s="4">
        <v>286</v>
      </c>
      <c r="D308" s="4" t="s">
        <v>805</v>
      </c>
      <c r="E308" s="5">
        <v>23.481000000000002</v>
      </c>
      <c r="F308" s="5">
        <v>33.905000000000001</v>
      </c>
      <c r="G308" s="13" t="s">
        <v>24</v>
      </c>
      <c r="H308" s="5" t="s">
        <v>19</v>
      </c>
      <c r="I308" s="5" t="s">
        <v>31</v>
      </c>
      <c r="J308" s="4"/>
      <c r="K308" s="4" t="s">
        <v>70</v>
      </c>
      <c r="L308" s="4">
        <v>22</v>
      </c>
      <c r="M308" s="4" t="str">
        <f t="shared" si="32"/>
        <v>L22</v>
      </c>
      <c r="N308" s="4" t="s">
        <v>385</v>
      </c>
      <c r="O308" s="4">
        <v>364</v>
      </c>
      <c r="P308">
        <v>350</v>
      </c>
      <c r="Q308" t="s">
        <v>28</v>
      </c>
      <c r="R308" t="b">
        <f t="shared" si="33"/>
        <v>1</v>
      </c>
      <c r="S308" s="4" t="s">
        <v>805</v>
      </c>
      <c r="T308" s="3">
        <v>1156</v>
      </c>
      <c r="U308" s="5" t="s">
        <v>31</v>
      </c>
      <c r="V308" s="5">
        <v>23.481000000000002</v>
      </c>
      <c r="W308" s="5">
        <v>33.905000000000001</v>
      </c>
      <c r="X308" s="3" t="s">
        <v>806</v>
      </c>
      <c r="Y308" s="12">
        <f t="shared" si="34"/>
        <v>-10.423999999999999</v>
      </c>
      <c r="AA308" t="b">
        <f t="shared" si="35"/>
        <v>1</v>
      </c>
      <c r="AB308" s="18" t="s">
        <v>807</v>
      </c>
      <c r="AC308" s="18" t="s">
        <v>805</v>
      </c>
      <c r="AD308" s="26" t="s">
        <v>374</v>
      </c>
      <c r="AE308" s="26"/>
      <c r="AF308" s="26" t="s">
        <v>374</v>
      </c>
      <c r="AG308" s="26" t="s">
        <v>374</v>
      </c>
      <c r="AH308" s="3"/>
      <c r="AL308" s="3">
        <v>1156</v>
      </c>
      <c r="AM308" s="34" t="s">
        <v>374</v>
      </c>
      <c r="AN308" s="17"/>
      <c r="AO308" s="17"/>
      <c r="AP308" s="34"/>
      <c r="AQ308" s="3"/>
      <c r="AR308" s="3"/>
      <c r="AS308" s="5" t="s">
        <v>31</v>
      </c>
      <c r="AU308" s="3" t="s">
        <v>31</v>
      </c>
    </row>
    <row r="309" spans="1:47" x14ac:dyDescent="0.25">
      <c r="A309" s="4"/>
      <c r="B309" s="4"/>
      <c r="C309" s="4">
        <v>334</v>
      </c>
      <c r="D309" s="4" t="s">
        <v>808</v>
      </c>
      <c r="E309" s="5">
        <v>24.917999999999999</v>
      </c>
      <c r="F309" s="5">
        <v>26.978999999999999</v>
      </c>
      <c r="G309" s="13" t="s">
        <v>24</v>
      </c>
      <c r="H309" s="5" t="s">
        <v>24</v>
      </c>
      <c r="I309" s="4" t="s">
        <v>25</v>
      </c>
      <c r="J309" s="4"/>
      <c r="K309" s="4" t="s">
        <v>73</v>
      </c>
      <c r="L309" s="4">
        <v>22</v>
      </c>
      <c r="M309" s="4" t="str">
        <f t="shared" si="32"/>
        <v>N22</v>
      </c>
      <c r="N309" s="4" t="s">
        <v>385</v>
      </c>
      <c r="O309" s="4">
        <v>366</v>
      </c>
      <c r="P309">
        <v>351</v>
      </c>
      <c r="Q309" t="s">
        <v>28</v>
      </c>
      <c r="R309" t="b">
        <f t="shared" si="33"/>
        <v>1</v>
      </c>
      <c r="S309" s="4" t="s">
        <v>808</v>
      </c>
      <c r="T309" s="3">
        <v>1157</v>
      </c>
      <c r="U309" s="4" t="s">
        <v>25</v>
      </c>
      <c r="V309" s="5">
        <v>24.917999999999999</v>
      </c>
      <c r="W309" s="5">
        <v>26.978999999999999</v>
      </c>
      <c r="X309" s="3" t="s">
        <v>809</v>
      </c>
      <c r="Y309" s="12">
        <f t="shared" si="34"/>
        <v>-2.0609999999999999</v>
      </c>
      <c r="AA309" t="b">
        <f t="shared" si="35"/>
        <v>1</v>
      </c>
      <c r="AB309" s="18" t="s">
        <v>810</v>
      </c>
      <c r="AC309" s="18" t="s">
        <v>808</v>
      </c>
      <c r="AD309" s="26">
        <v>689.68</v>
      </c>
      <c r="AE309" s="26"/>
      <c r="AF309" s="26">
        <v>132</v>
      </c>
      <c r="AG309" s="26">
        <v>2716</v>
      </c>
      <c r="AH309" s="3"/>
      <c r="AL309" s="3">
        <v>1157</v>
      </c>
      <c r="AM309" s="34">
        <v>689.68</v>
      </c>
      <c r="AN309" s="40">
        <f>(AM309-122)/3</f>
        <v>189.22666666666666</v>
      </c>
      <c r="AO309" s="40">
        <f>AN309*1.0425+1.2088</f>
        <v>198.4776</v>
      </c>
      <c r="AP309" s="34"/>
      <c r="AQ309" s="3"/>
      <c r="AR309" s="3"/>
      <c r="AS309" s="4" t="s">
        <v>25</v>
      </c>
      <c r="AU309" s="3" t="s">
        <v>1064</v>
      </c>
    </row>
    <row r="310" spans="1:47" x14ac:dyDescent="0.25">
      <c r="A310" s="4"/>
      <c r="B310" s="4"/>
      <c r="C310" s="4">
        <v>382</v>
      </c>
      <c r="D310" s="4" t="s">
        <v>811</v>
      </c>
      <c r="E310" s="5">
        <v>24.006</v>
      </c>
      <c r="F310" s="5" t="s">
        <v>31</v>
      </c>
      <c r="G310" s="13" t="s">
        <v>24</v>
      </c>
      <c r="H310" s="5" t="s">
        <v>31</v>
      </c>
      <c r="I310" s="4" t="s">
        <v>31</v>
      </c>
      <c r="J310" s="4"/>
      <c r="K310" s="4" t="s">
        <v>76</v>
      </c>
      <c r="L310" s="4">
        <v>22</v>
      </c>
      <c r="M310" s="4" t="str">
        <f t="shared" si="32"/>
        <v>P22</v>
      </c>
      <c r="N310" s="4" t="s">
        <v>385</v>
      </c>
      <c r="O310" s="4">
        <v>368</v>
      </c>
      <c r="P310">
        <v>352</v>
      </c>
      <c r="Q310" t="s">
        <v>28</v>
      </c>
      <c r="R310" t="b">
        <f t="shared" si="33"/>
        <v>1</v>
      </c>
      <c r="S310" s="4" t="s">
        <v>811</v>
      </c>
      <c r="T310" s="3">
        <v>1158</v>
      </c>
      <c r="U310" s="4" t="s">
        <v>31</v>
      </c>
      <c r="V310" s="5">
        <v>24.006</v>
      </c>
      <c r="W310" s="5" t="s">
        <v>31</v>
      </c>
      <c r="X310" s="3" t="s">
        <v>812</v>
      </c>
      <c r="Y310" s="12" t="e">
        <f t="shared" si="34"/>
        <v>#VALUE!</v>
      </c>
      <c r="AA310" t="b">
        <f t="shared" si="35"/>
        <v>1</v>
      </c>
      <c r="AB310" s="18" t="s">
        <v>813</v>
      </c>
      <c r="AC310" s="18" t="s">
        <v>811</v>
      </c>
      <c r="AD310" s="26" t="s">
        <v>374</v>
      </c>
      <c r="AE310" s="26"/>
      <c r="AF310" s="26" t="s">
        <v>374</v>
      </c>
      <c r="AG310" s="26" t="s">
        <v>374</v>
      </c>
      <c r="AH310" s="3"/>
      <c r="AL310" s="3">
        <v>1158</v>
      </c>
      <c r="AM310" s="34" t="s">
        <v>374</v>
      </c>
      <c r="AN310" s="17"/>
      <c r="AO310" s="17"/>
      <c r="AP310" s="34"/>
      <c r="AQ310" s="3"/>
      <c r="AR310" s="3"/>
      <c r="AS310" s="4" t="s">
        <v>31</v>
      </c>
      <c r="AU310" s="3" t="s">
        <v>31</v>
      </c>
    </row>
    <row r="311" spans="1:47" x14ac:dyDescent="0.25">
      <c r="A311" s="4"/>
      <c r="B311" s="4"/>
      <c r="C311" s="4">
        <v>23</v>
      </c>
      <c r="D311" s="4" t="s">
        <v>814</v>
      </c>
      <c r="E311" s="5">
        <v>26.763000000000002</v>
      </c>
      <c r="F311" s="5" t="s">
        <v>31</v>
      </c>
      <c r="G311" s="13" t="s">
        <v>24</v>
      </c>
      <c r="H311" s="5" t="s">
        <v>31</v>
      </c>
      <c r="I311" s="4" t="s">
        <v>31</v>
      </c>
      <c r="J311" s="4"/>
      <c r="K311" s="4" t="s">
        <v>26</v>
      </c>
      <c r="L311" s="4">
        <v>23</v>
      </c>
      <c r="M311" s="4" t="str">
        <f t="shared" si="32"/>
        <v>A23</v>
      </c>
      <c r="N311" s="4" t="s">
        <v>371</v>
      </c>
      <c r="O311" s="4">
        <v>273</v>
      </c>
      <c r="P311">
        <v>353</v>
      </c>
      <c r="Q311" t="s">
        <v>28</v>
      </c>
      <c r="R311" t="b">
        <f t="shared" si="33"/>
        <v>1</v>
      </c>
      <c r="S311" s="4" t="s">
        <v>814</v>
      </c>
      <c r="T311" s="3">
        <v>1159</v>
      </c>
      <c r="U311" s="4" t="s">
        <v>31</v>
      </c>
      <c r="V311" s="5">
        <v>26.763000000000002</v>
      </c>
      <c r="W311" s="5" t="s">
        <v>31</v>
      </c>
      <c r="X311" s="3" t="s">
        <v>815</v>
      </c>
      <c r="Y311" s="12" t="e">
        <f t="shared" si="34"/>
        <v>#VALUE!</v>
      </c>
      <c r="AA311" t="b">
        <f t="shared" si="35"/>
        <v>1</v>
      </c>
      <c r="AB311" s="18" t="s">
        <v>816</v>
      </c>
      <c r="AC311" s="18" t="s">
        <v>814</v>
      </c>
      <c r="AD311" s="26" t="s">
        <v>374</v>
      </c>
      <c r="AE311" s="26"/>
      <c r="AF311" s="26" t="s">
        <v>374</v>
      </c>
      <c r="AG311" s="26" t="s">
        <v>374</v>
      </c>
      <c r="AH311" s="3"/>
      <c r="AL311" s="3">
        <v>1159</v>
      </c>
      <c r="AM311" s="34" t="s">
        <v>374</v>
      </c>
      <c r="AN311" s="17"/>
      <c r="AO311" s="17"/>
      <c r="AP311" s="34"/>
      <c r="AQ311" s="3"/>
      <c r="AR311" s="3"/>
      <c r="AS311" s="4" t="s">
        <v>31</v>
      </c>
      <c r="AU311" s="3" t="s">
        <v>31</v>
      </c>
    </row>
    <row r="312" spans="1:47" x14ac:dyDescent="0.25">
      <c r="A312" s="4"/>
      <c r="B312" s="4"/>
      <c r="C312" s="4">
        <v>71</v>
      </c>
      <c r="D312" s="4" t="s">
        <v>817</v>
      </c>
      <c r="E312" s="5">
        <v>25.170999999999999</v>
      </c>
      <c r="F312" s="5">
        <v>27.477</v>
      </c>
      <c r="G312" s="13" t="s">
        <v>24</v>
      </c>
      <c r="H312" s="5" t="s">
        <v>24</v>
      </c>
      <c r="I312" s="4" t="s">
        <v>25</v>
      </c>
      <c r="J312" s="4"/>
      <c r="K312" s="4" t="s">
        <v>32</v>
      </c>
      <c r="L312" s="4">
        <v>23</v>
      </c>
      <c r="M312" s="4" t="str">
        <f t="shared" si="32"/>
        <v>C23</v>
      </c>
      <c r="N312" s="4" t="s">
        <v>371</v>
      </c>
      <c r="O312" s="4">
        <v>275</v>
      </c>
      <c r="P312">
        <v>354</v>
      </c>
      <c r="Q312" t="s">
        <v>28</v>
      </c>
      <c r="R312" t="b">
        <f t="shared" si="33"/>
        <v>1</v>
      </c>
      <c r="S312" s="4" t="s">
        <v>817</v>
      </c>
      <c r="T312" s="3">
        <v>1160</v>
      </c>
      <c r="U312" s="4" t="s">
        <v>25</v>
      </c>
      <c r="V312" s="5">
        <v>25.170999999999999</v>
      </c>
      <c r="W312" s="5">
        <v>27.477</v>
      </c>
      <c r="X312" s="3" t="s">
        <v>818</v>
      </c>
      <c r="Y312" s="12">
        <f t="shared" si="34"/>
        <v>-2.3060000000000009</v>
      </c>
      <c r="AA312" t="b">
        <f t="shared" si="35"/>
        <v>1</v>
      </c>
      <c r="AB312" s="18" t="s">
        <v>819</v>
      </c>
      <c r="AC312" s="18" t="s">
        <v>817</v>
      </c>
      <c r="AD312" s="26">
        <v>672.3</v>
      </c>
      <c r="AE312" s="26"/>
      <c r="AF312" s="26">
        <v>82</v>
      </c>
      <c r="AG312" s="26">
        <v>1799</v>
      </c>
      <c r="AH312" s="3"/>
      <c r="AL312" s="3">
        <v>1160</v>
      </c>
      <c r="AM312" s="34">
        <v>672.3</v>
      </c>
      <c r="AN312" s="40">
        <f>(AM312-122)/3</f>
        <v>183.43333333333331</v>
      </c>
      <c r="AO312" s="40">
        <f>AN312*1.0425+1.2088</f>
        <v>192.43804999999998</v>
      </c>
      <c r="AP312" s="34"/>
      <c r="AQ312" s="3"/>
      <c r="AR312" s="3"/>
      <c r="AS312" s="4" t="s">
        <v>25</v>
      </c>
      <c r="AU312" s="3" t="s">
        <v>1064</v>
      </c>
    </row>
    <row r="313" spans="1:47" x14ac:dyDescent="0.25">
      <c r="A313" s="4"/>
      <c r="B313" s="4"/>
      <c r="C313" s="4">
        <v>119</v>
      </c>
      <c r="D313" s="4" t="s">
        <v>820</v>
      </c>
      <c r="E313" s="5">
        <v>26.178999999999998</v>
      </c>
      <c r="F313" s="5">
        <v>28.533999999999999</v>
      </c>
      <c r="G313" s="13" t="s">
        <v>24</v>
      </c>
      <c r="H313" s="5" t="s">
        <v>24</v>
      </c>
      <c r="I313" s="4" t="s">
        <v>25</v>
      </c>
      <c r="J313" s="4"/>
      <c r="K313" s="4" t="s">
        <v>35</v>
      </c>
      <c r="L313" s="4">
        <v>23</v>
      </c>
      <c r="M313" s="4" t="str">
        <f t="shared" si="32"/>
        <v>E23</v>
      </c>
      <c r="N313" s="4" t="s">
        <v>371</v>
      </c>
      <c r="O313" s="4">
        <v>277</v>
      </c>
      <c r="P313">
        <v>355</v>
      </c>
      <c r="Q313" t="s">
        <v>28</v>
      </c>
      <c r="R313" t="b">
        <f t="shared" si="33"/>
        <v>1</v>
      </c>
      <c r="S313" s="4" t="s">
        <v>820</v>
      </c>
      <c r="T313" s="3">
        <v>1161</v>
      </c>
      <c r="U313" s="4" t="s">
        <v>25</v>
      </c>
      <c r="V313" s="5">
        <v>26.178999999999998</v>
      </c>
      <c r="W313" s="5">
        <v>28.533999999999999</v>
      </c>
      <c r="X313" s="3" t="s">
        <v>821</v>
      </c>
      <c r="Y313" s="12">
        <f t="shared" si="34"/>
        <v>-2.3550000000000004</v>
      </c>
      <c r="AA313" t="b">
        <f t="shared" si="35"/>
        <v>1</v>
      </c>
      <c r="AB313" s="18" t="s">
        <v>822</v>
      </c>
      <c r="AC313" s="18" t="s">
        <v>820</v>
      </c>
      <c r="AD313" s="26">
        <v>666.44</v>
      </c>
      <c r="AE313" s="26"/>
      <c r="AF313" s="26">
        <v>82</v>
      </c>
      <c r="AG313" s="26">
        <v>1591</v>
      </c>
      <c r="AH313" s="3"/>
      <c r="AL313" s="3">
        <v>1161</v>
      </c>
      <c r="AM313" s="34">
        <v>666.44</v>
      </c>
      <c r="AN313" s="40">
        <f>(AM313-122)/3</f>
        <v>181.48000000000002</v>
      </c>
      <c r="AO313" s="40">
        <f>AN313*1.0425+1.2088</f>
        <v>190.40170000000001</v>
      </c>
      <c r="AP313" s="34"/>
      <c r="AQ313" s="3"/>
      <c r="AR313" s="3"/>
      <c r="AS313" s="4" t="s">
        <v>25</v>
      </c>
      <c r="AU313" s="3" t="s">
        <v>1064</v>
      </c>
    </row>
    <row r="314" spans="1:47" x14ac:dyDescent="0.25">
      <c r="A314" s="4"/>
      <c r="B314" s="4"/>
      <c r="C314" s="4">
        <v>167</v>
      </c>
      <c r="D314" s="4" t="s">
        <v>823</v>
      </c>
      <c r="E314" s="5">
        <v>27.295000000000002</v>
      </c>
      <c r="F314" s="5" t="s">
        <v>31</v>
      </c>
      <c r="G314" s="13" t="s">
        <v>24</v>
      </c>
      <c r="H314" s="5" t="s">
        <v>31</v>
      </c>
      <c r="I314" s="4" t="s">
        <v>31</v>
      </c>
      <c r="J314" s="4"/>
      <c r="K314" s="4" t="s">
        <v>38</v>
      </c>
      <c r="L314" s="4">
        <v>23</v>
      </c>
      <c r="M314" s="4" t="str">
        <f t="shared" si="32"/>
        <v>G23</v>
      </c>
      <c r="N314" s="4" t="s">
        <v>371</v>
      </c>
      <c r="O314" s="4">
        <v>279</v>
      </c>
      <c r="P314">
        <v>356</v>
      </c>
      <c r="Q314" t="s">
        <v>28</v>
      </c>
      <c r="R314" t="b">
        <f t="shared" si="33"/>
        <v>1</v>
      </c>
      <c r="S314" s="4" t="s">
        <v>823</v>
      </c>
      <c r="T314" s="3">
        <v>1162</v>
      </c>
      <c r="U314" s="4" t="s">
        <v>31</v>
      </c>
      <c r="V314" s="5">
        <v>27.295000000000002</v>
      </c>
      <c r="W314" s="5" t="s">
        <v>31</v>
      </c>
      <c r="X314" s="3" t="s">
        <v>824</v>
      </c>
      <c r="Y314" s="12" t="e">
        <f t="shared" si="34"/>
        <v>#VALUE!</v>
      </c>
      <c r="AA314" t="b">
        <f t="shared" si="35"/>
        <v>1</v>
      </c>
      <c r="AB314" s="18" t="s">
        <v>825</v>
      </c>
      <c r="AC314" s="18" t="s">
        <v>823</v>
      </c>
      <c r="AD314" s="26" t="s">
        <v>374</v>
      </c>
      <c r="AE314" s="26"/>
      <c r="AF314" s="26" t="s">
        <v>374</v>
      </c>
      <c r="AG314" s="26" t="s">
        <v>374</v>
      </c>
      <c r="AH314" s="3"/>
      <c r="AL314" s="3">
        <v>1162</v>
      </c>
      <c r="AM314" s="34" t="s">
        <v>374</v>
      </c>
      <c r="AN314" s="17"/>
      <c r="AO314" s="17"/>
      <c r="AP314" s="34"/>
      <c r="AQ314" s="3"/>
      <c r="AR314" s="3"/>
      <c r="AS314" s="4" t="s">
        <v>31</v>
      </c>
      <c r="AU314" s="3" t="s">
        <v>31</v>
      </c>
    </row>
    <row r="315" spans="1:47" x14ac:dyDescent="0.25">
      <c r="A315" s="4"/>
      <c r="B315" s="4"/>
      <c r="C315" s="4">
        <v>215</v>
      </c>
      <c r="D315" s="4" t="s">
        <v>826</v>
      </c>
      <c r="E315" s="5">
        <v>25.99</v>
      </c>
      <c r="F315" s="5">
        <v>28.199000000000002</v>
      </c>
      <c r="G315" s="13" t="s">
        <v>24</v>
      </c>
      <c r="H315" s="5" t="s">
        <v>24</v>
      </c>
      <c r="I315" s="4" t="s">
        <v>25</v>
      </c>
      <c r="J315" s="4"/>
      <c r="K315" s="4" t="s">
        <v>41</v>
      </c>
      <c r="L315" s="4">
        <v>23</v>
      </c>
      <c r="M315" s="4" t="str">
        <f t="shared" si="32"/>
        <v>I23</v>
      </c>
      <c r="N315" s="4" t="s">
        <v>385</v>
      </c>
      <c r="O315" s="4">
        <v>369</v>
      </c>
      <c r="P315">
        <v>357</v>
      </c>
      <c r="Q315" t="s">
        <v>28</v>
      </c>
      <c r="R315" t="b">
        <f t="shared" si="33"/>
        <v>1</v>
      </c>
      <c r="S315" s="4" t="s">
        <v>826</v>
      </c>
      <c r="T315" s="3">
        <v>1163</v>
      </c>
      <c r="U315" s="4" t="s">
        <v>25</v>
      </c>
      <c r="V315" s="5">
        <v>25.99</v>
      </c>
      <c r="W315" s="5">
        <v>28.199000000000002</v>
      </c>
      <c r="X315" s="3" t="s">
        <v>827</v>
      </c>
      <c r="Y315" s="12">
        <f t="shared" si="34"/>
        <v>-2.2090000000000032</v>
      </c>
      <c r="AA315" t="b">
        <f t="shared" si="35"/>
        <v>1</v>
      </c>
      <c r="AB315" s="18" t="s">
        <v>828</v>
      </c>
      <c r="AC315" s="18" t="s">
        <v>826</v>
      </c>
      <c r="AD315" s="26">
        <v>666.43</v>
      </c>
      <c r="AE315" s="26"/>
      <c r="AF315" s="26">
        <v>104</v>
      </c>
      <c r="AG315" s="26">
        <v>1960</v>
      </c>
      <c r="AH315" s="3"/>
      <c r="AL315" s="3">
        <v>1163</v>
      </c>
      <c r="AM315" s="34">
        <v>666.43</v>
      </c>
      <c r="AN315" s="40">
        <f>(AM315-122)/3</f>
        <v>181.47666666666666</v>
      </c>
      <c r="AO315" s="40">
        <f>AN315*1.0425+1.2088</f>
        <v>190.398225</v>
      </c>
      <c r="AP315" s="34"/>
      <c r="AQ315" s="3"/>
      <c r="AR315" s="3"/>
      <c r="AS315" s="4" t="s">
        <v>25</v>
      </c>
      <c r="AU315" s="3" t="s">
        <v>1064</v>
      </c>
    </row>
    <row r="316" spans="1:47" x14ac:dyDescent="0.25">
      <c r="A316" s="4"/>
      <c r="B316" s="4"/>
      <c r="C316" s="4">
        <v>263</v>
      </c>
      <c r="D316" s="4" t="s">
        <v>829</v>
      </c>
      <c r="E316" s="5">
        <v>25.777000000000001</v>
      </c>
      <c r="F316" s="5" t="s">
        <v>31</v>
      </c>
      <c r="G316" s="13" t="s">
        <v>24</v>
      </c>
      <c r="H316" s="5" t="s">
        <v>31</v>
      </c>
      <c r="I316" s="4" t="s">
        <v>31</v>
      </c>
      <c r="J316" s="4"/>
      <c r="K316" s="4" t="s">
        <v>45</v>
      </c>
      <c r="L316" s="4">
        <v>23</v>
      </c>
      <c r="M316" s="4" t="str">
        <f t="shared" si="32"/>
        <v>K23</v>
      </c>
      <c r="N316" s="4" t="s">
        <v>385</v>
      </c>
      <c r="O316" s="4">
        <v>371</v>
      </c>
      <c r="P316">
        <v>358</v>
      </c>
      <c r="Q316" t="s">
        <v>28</v>
      </c>
      <c r="R316" t="b">
        <f t="shared" si="33"/>
        <v>1</v>
      </c>
      <c r="S316" s="4" t="s">
        <v>829</v>
      </c>
      <c r="T316" s="3">
        <v>1164</v>
      </c>
      <c r="U316" s="4" t="s">
        <v>31</v>
      </c>
      <c r="V316" s="5">
        <v>25.777000000000001</v>
      </c>
      <c r="W316" s="5" t="s">
        <v>31</v>
      </c>
      <c r="X316" s="3" t="s">
        <v>830</v>
      </c>
      <c r="Y316" s="12" t="e">
        <f t="shared" si="34"/>
        <v>#VALUE!</v>
      </c>
      <c r="AA316" t="b">
        <f t="shared" si="35"/>
        <v>1</v>
      </c>
      <c r="AB316" s="18" t="s">
        <v>831</v>
      </c>
      <c r="AC316" s="18" t="s">
        <v>829</v>
      </c>
      <c r="AD316" s="26" t="s">
        <v>374</v>
      </c>
      <c r="AE316" s="26"/>
      <c r="AF316" s="26" t="s">
        <v>374</v>
      </c>
      <c r="AG316" s="26" t="s">
        <v>374</v>
      </c>
      <c r="AH316" s="3"/>
      <c r="AL316" s="3">
        <v>1164</v>
      </c>
      <c r="AM316" s="34" t="s">
        <v>374</v>
      </c>
      <c r="AN316" s="17"/>
      <c r="AO316" s="17"/>
      <c r="AP316" s="34"/>
      <c r="AQ316" s="3"/>
      <c r="AR316" s="3"/>
      <c r="AS316" s="4" t="s">
        <v>31</v>
      </c>
      <c r="AU316" s="3" t="s">
        <v>31</v>
      </c>
    </row>
    <row r="317" spans="1:47" x14ac:dyDescent="0.25">
      <c r="A317" s="4"/>
      <c r="B317" s="4"/>
      <c r="C317" s="4">
        <v>311</v>
      </c>
      <c r="D317" s="4" t="s">
        <v>832</v>
      </c>
      <c r="E317" s="5">
        <v>25.992000000000001</v>
      </c>
      <c r="F317" s="5">
        <v>28.105</v>
      </c>
      <c r="G317" s="13" t="s">
        <v>24</v>
      </c>
      <c r="H317" s="5" t="s">
        <v>24</v>
      </c>
      <c r="I317" s="4" t="s">
        <v>25</v>
      </c>
      <c r="J317" s="4"/>
      <c r="K317" s="4" t="s">
        <v>48</v>
      </c>
      <c r="L317" s="4">
        <v>23</v>
      </c>
      <c r="M317" s="4" t="str">
        <f t="shared" si="32"/>
        <v>M23</v>
      </c>
      <c r="N317" s="4" t="s">
        <v>385</v>
      </c>
      <c r="O317" s="4">
        <v>373</v>
      </c>
      <c r="P317">
        <v>359</v>
      </c>
      <c r="Q317" t="s">
        <v>28</v>
      </c>
      <c r="R317" t="b">
        <f t="shared" si="33"/>
        <v>1</v>
      </c>
      <c r="S317" s="4" t="s">
        <v>832</v>
      </c>
      <c r="T317" s="3">
        <v>1165</v>
      </c>
      <c r="U317" s="4" t="s">
        <v>25</v>
      </c>
      <c r="V317" s="5">
        <v>25.992000000000001</v>
      </c>
      <c r="W317" s="5">
        <v>28.105</v>
      </c>
      <c r="X317" s="3" t="s">
        <v>833</v>
      </c>
      <c r="Y317" s="12">
        <f t="shared" si="34"/>
        <v>-2.1129999999999995</v>
      </c>
      <c r="AA317" t="b">
        <f t="shared" si="35"/>
        <v>1</v>
      </c>
      <c r="AB317" s="18" t="s">
        <v>834</v>
      </c>
      <c r="AC317" s="18" t="s">
        <v>832</v>
      </c>
      <c r="AD317" s="26">
        <v>648.96</v>
      </c>
      <c r="AE317" s="26"/>
      <c r="AF317" s="26">
        <v>123</v>
      </c>
      <c r="AG317" s="26">
        <v>2648</v>
      </c>
      <c r="AH317" s="3"/>
      <c r="AL317" s="3">
        <v>1165</v>
      </c>
      <c r="AM317" s="34">
        <v>648.96</v>
      </c>
      <c r="AN317" s="40">
        <f>(AM317-122)/3</f>
        <v>175.65333333333334</v>
      </c>
      <c r="AO317" s="40">
        <f>AN317*1.0425+1.2088</f>
        <v>184.32739999999998</v>
      </c>
      <c r="AP317" s="34"/>
      <c r="AQ317" s="3"/>
      <c r="AR317" s="3"/>
      <c r="AS317" s="4" t="s">
        <v>25</v>
      </c>
      <c r="AU317" s="3" t="s">
        <v>1064</v>
      </c>
    </row>
    <row r="318" spans="1:47" x14ac:dyDescent="0.25">
      <c r="A318" s="4"/>
      <c r="B318" s="4"/>
      <c r="C318" s="4">
        <v>359</v>
      </c>
      <c r="D318" s="4" t="s">
        <v>835</v>
      </c>
      <c r="E318" s="5">
        <v>24.484999999999999</v>
      </c>
      <c r="F318" s="5">
        <v>26.497</v>
      </c>
      <c r="G318" s="13" t="s">
        <v>24</v>
      </c>
      <c r="H318" s="5" t="s">
        <v>24</v>
      </c>
      <c r="I318" s="4" t="s">
        <v>25</v>
      </c>
      <c r="J318" s="4"/>
      <c r="K318" s="4" t="s">
        <v>51</v>
      </c>
      <c r="L318" s="4">
        <v>23</v>
      </c>
      <c r="M318" s="4" t="str">
        <f t="shared" si="32"/>
        <v>O23</v>
      </c>
      <c r="N318" s="4" t="s">
        <v>385</v>
      </c>
      <c r="O318" s="4">
        <v>375</v>
      </c>
      <c r="P318">
        <v>360</v>
      </c>
      <c r="Q318" t="s">
        <v>28</v>
      </c>
      <c r="R318" t="b">
        <f t="shared" si="33"/>
        <v>1</v>
      </c>
      <c r="S318" s="4" t="s">
        <v>835</v>
      </c>
      <c r="T318" s="3">
        <v>1166</v>
      </c>
      <c r="U318" s="4" t="s">
        <v>25</v>
      </c>
      <c r="V318" s="5">
        <v>24.484999999999999</v>
      </c>
      <c r="W318" s="5">
        <v>26.497</v>
      </c>
      <c r="X318" s="3" t="s">
        <v>836</v>
      </c>
      <c r="Y318" s="12">
        <f t="shared" si="34"/>
        <v>-2.0120000000000005</v>
      </c>
      <c r="AA318" t="b">
        <f t="shared" si="35"/>
        <v>1</v>
      </c>
      <c r="AB318" s="18" t="s">
        <v>837</v>
      </c>
      <c r="AC318" s="18" t="s">
        <v>835</v>
      </c>
      <c r="AD318" s="26">
        <v>677.85</v>
      </c>
      <c r="AE318" s="26"/>
      <c r="AF318" s="26">
        <v>222</v>
      </c>
      <c r="AG318" s="26">
        <v>4494</v>
      </c>
      <c r="AH318" s="3"/>
      <c r="AL318" s="3">
        <v>1166</v>
      </c>
      <c r="AM318" s="34">
        <v>677.85</v>
      </c>
      <c r="AN318" s="40">
        <f>(AM318-122)/3</f>
        <v>185.28333333333333</v>
      </c>
      <c r="AO318" s="40">
        <f>AN318*1.0425+1.2088</f>
        <v>194.36667499999999</v>
      </c>
      <c r="AP318" s="34"/>
      <c r="AQ318" s="3"/>
      <c r="AR318" s="3"/>
      <c r="AS318" s="4" t="s">
        <v>25</v>
      </c>
      <c r="AU318" s="3" t="s">
        <v>1064</v>
      </c>
    </row>
    <row r="319" spans="1:47" x14ac:dyDescent="0.25">
      <c r="A319" s="4"/>
      <c r="B319" s="4"/>
      <c r="C319" s="4">
        <v>47</v>
      </c>
      <c r="D319" s="4" t="s">
        <v>838</v>
      </c>
      <c r="E319" s="5">
        <v>25.638000000000002</v>
      </c>
      <c r="F319" s="5">
        <v>27.881</v>
      </c>
      <c r="G319" s="13" t="s">
        <v>24</v>
      </c>
      <c r="H319" s="5" t="s">
        <v>24</v>
      </c>
      <c r="I319" s="4" t="s">
        <v>25</v>
      </c>
      <c r="J319" s="4"/>
      <c r="K319" s="4" t="s">
        <v>54</v>
      </c>
      <c r="L319" s="4">
        <v>23</v>
      </c>
      <c r="M319" s="4" t="str">
        <f t="shared" si="32"/>
        <v>B23</v>
      </c>
      <c r="N319" s="4" t="s">
        <v>371</v>
      </c>
      <c r="O319" s="4">
        <v>274</v>
      </c>
      <c r="P319">
        <v>361</v>
      </c>
      <c r="Q319" t="s">
        <v>28</v>
      </c>
      <c r="R319" t="b">
        <f t="shared" si="33"/>
        <v>1</v>
      </c>
      <c r="S319" s="4" t="s">
        <v>838</v>
      </c>
      <c r="T319" s="3">
        <v>1167</v>
      </c>
      <c r="U319" s="4" t="s">
        <v>25</v>
      </c>
      <c r="V319" s="5">
        <v>25.638000000000002</v>
      </c>
      <c r="W319" s="5">
        <v>27.881</v>
      </c>
      <c r="X319" s="3" t="s">
        <v>839</v>
      </c>
      <c r="Y319" s="12">
        <f t="shared" si="34"/>
        <v>-2.2429999999999986</v>
      </c>
      <c r="AA319" t="b">
        <f t="shared" si="35"/>
        <v>1</v>
      </c>
      <c r="AB319" s="18" t="s">
        <v>840</v>
      </c>
      <c r="AC319" s="18" t="s">
        <v>838</v>
      </c>
      <c r="AD319" s="26">
        <v>680.82</v>
      </c>
      <c r="AE319" s="26"/>
      <c r="AF319" s="26">
        <v>63</v>
      </c>
      <c r="AG319" s="26">
        <v>1329</v>
      </c>
      <c r="AH319" s="3"/>
      <c r="AL319" s="3">
        <v>1167</v>
      </c>
      <c r="AM319" s="34">
        <v>680.82</v>
      </c>
      <c r="AN319" s="40">
        <f>(AM319-122)/3</f>
        <v>186.27333333333334</v>
      </c>
      <c r="AO319" s="40">
        <f>AN319*1.0425+1.2088</f>
        <v>195.39875000000001</v>
      </c>
      <c r="AP319" s="34"/>
      <c r="AQ319" s="3"/>
      <c r="AR319" s="3"/>
      <c r="AS319" s="4" t="s">
        <v>25</v>
      </c>
      <c r="AU319" s="3" t="s">
        <v>1064</v>
      </c>
    </row>
    <row r="320" spans="1:47" x14ac:dyDescent="0.25">
      <c r="A320" s="4"/>
      <c r="B320" s="4"/>
      <c r="C320" s="4">
        <v>95</v>
      </c>
      <c r="D320" s="4" t="s">
        <v>841</v>
      </c>
      <c r="E320" s="5">
        <v>23.620999999999999</v>
      </c>
      <c r="F320" s="5" t="s">
        <v>31</v>
      </c>
      <c r="G320" s="13" t="s">
        <v>24</v>
      </c>
      <c r="H320" s="5" t="s">
        <v>31</v>
      </c>
      <c r="I320" s="4" t="s">
        <v>31</v>
      </c>
      <c r="J320" s="4"/>
      <c r="K320" s="4" t="s">
        <v>57</v>
      </c>
      <c r="L320" s="4">
        <v>23</v>
      </c>
      <c r="M320" s="4" t="str">
        <f t="shared" si="32"/>
        <v>D23</v>
      </c>
      <c r="N320" s="4" t="s">
        <v>371</v>
      </c>
      <c r="O320" s="4">
        <v>276</v>
      </c>
      <c r="P320">
        <v>362</v>
      </c>
      <c r="Q320" t="s">
        <v>28</v>
      </c>
      <c r="R320" t="b">
        <f t="shared" si="33"/>
        <v>1</v>
      </c>
      <c r="S320" s="4" t="s">
        <v>841</v>
      </c>
      <c r="T320" s="3">
        <v>1168</v>
      </c>
      <c r="U320" s="4" t="s">
        <v>31</v>
      </c>
      <c r="V320" s="5">
        <v>23.620999999999999</v>
      </c>
      <c r="W320" s="5" t="s">
        <v>31</v>
      </c>
      <c r="X320" s="3" t="s">
        <v>842</v>
      </c>
      <c r="Y320" s="12" t="e">
        <f t="shared" si="34"/>
        <v>#VALUE!</v>
      </c>
      <c r="AA320" t="b">
        <f t="shared" si="35"/>
        <v>1</v>
      </c>
      <c r="AB320" s="18" t="s">
        <v>843</v>
      </c>
      <c r="AC320" s="18" t="s">
        <v>841</v>
      </c>
      <c r="AD320" s="26" t="s">
        <v>374</v>
      </c>
      <c r="AE320" s="26"/>
      <c r="AF320" s="26" t="s">
        <v>374</v>
      </c>
      <c r="AG320" s="26" t="s">
        <v>374</v>
      </c>
      <c r="AH320" s="3"/>
      <c r="AL320" s="3">
        <v>1168</v>
      </c>
      <c r="AM320" s="34" t="s">
        <v>374</v>
      </c>
      <c r="AN320" s="17"/>
      <c r="AO320" s="17"/>
      <c r="AP320" s="34"/>
      <c r="AQ320" s="3"/>
      <c r="AR320" s="3"/>
      <c r="AS320" s="4" t="s">
        <v>31</v>
      </c>
      <c r="AU320" s="3" t="s">
        <v>31</v>
      </c>
    </row>
    <row r="321" spans="1:47" x14ac:dyDescent="0.25">
      <c r="A321" s="4"/>
      <c r="B321" s="4"/>
      <c r="C321" s="4">
        <v>143</v>
      </c>
      <c r="D321" s="4" t="s">
        <v>844</v>
      </c>
      <c r="E321" s="5">
        <v>24.148</v>
      </c>
      <c r="F321" s="5" t="s">
        <v>31</v>
      </c>
      <c r="G321" s="13" t="s">
        <v>24</v>
      </c>
      <c r="H321" s="5" t="s">
        <v>31</v>
      </c>
      <c r="I321" s="4" t="s">
        <v>31</v>
      </c>
      <c r="J321" s="4"/>
      <c r="K321" s="4" t="s">
        <v>60</v>
      </c>
      <c r="L321" s="4">
        <v>23</v>
      </c>
      <c r="M321" s="4" t="str">
        <f t="shared" si="32"/>
        <v>F23</v>
      </c>
      <c r="N321" s="4" t="s">
        <v>371</v>
      </c>
      <c r="O321" s="4">
        <v>278</v>
      </c>
      <c r="P321">
        <v>363</v>
      </c>
      <c r="Q321" t="s">
        <v>28</v>
      </c>
      <c r="R321" t="b">
        <f t="shared" si="33"/>
        <v>1</v>
      </c>
      <c r="S321" s="4" t="s">
        <v>844</v>
      </c>
      <c r="T321" s="3">
        <v>1169</v>
      </c>
      <c r="U321" s="4" t="s">
        <v>31</v>
      </c>
      <c r="V321" s="5">
        <v>24.148</v>
      </c>
      <c r="W321" s="5" t="s">
        <v>31</v>
      </c>
      <c r="X321" s="3" t="s">
        <v>845</v>
      </c>
      <c r="Y321" s="12" t="e">
        <f t="shared" si="34"/>
        <v>#VALUE!</v>
      </c>
      <c r="AA321" t="b">
        <f t="shared" si="35"/>
        <v>1</v>
      </c>
      <c r="AB321" s="18" t="s">
        <v>846</v>
      </c>
      <c r="AC321" s="18" t="s">
        <v>844</v>
      </c>
      <c r="AD321" s="26" t="s">
        <v>374</v>
      </c>
      <c r="AE321" s="26"/>
      <c r="AF321" s="26" t="s">
        <v>374</v>
      </c>
      <c r="AG321" s="26" t="s">
        <v>374</v>
      </c>
      <c r="AH321" s="3"/>
      <c r="AL321" s="3">
        <v>1169</v>
      </c>
      <c r="AM321" s="34" t="s">
        <v>374</v>
      </c>
      <c r="AN321" s="17"/>
      <c r="AO321" s="17"/>
      <c r="AP321" s="34"/>
      <c r="AQ321" s="3"/>
      <c r="AR321" s="3"/>
      <c r="AS321" s="4" t="s">
        <v>31</v>
      </c>
      <c r="AU321" s="3" t="s">
        <v>31</v>
      </c>
    </row>
    <row r="322" spans="1:47" x14ac:dyDescent="0.25">
      <c r="A322" s="4"/>
      <c r="B322" s="4"/>
      <c r="C322" s="4">
        <v>191</v>
      </c>
      <c r="D322" s="4" t="s">
        <v>847</v>
      </c>
      <c r="E322" s="5">
        <v>24.033999999999999</v>
      </c>
      <c r="F322" s="5">
        <v>26.297999999999998</v>
      </c>
      <c r="G322" s="13" t="s">
        <v>24</v>
      </c>
      <c r="H322" s="5" t="s">
        <v>24</v>
      </c>
      <c r="I322" s="4" t="s">
        <v>25</v>
      </c>
      <c r="J322" s="4"/>
      <c r="K322" s="4" t="s">
        <v>64</v>
      </c>
      <c r="L322" s="4">
        <v>23</v>
      </c>
      <c r="M322" s="4" t="str">
        <f t="shared" ref="M322:M338" si="36">CONCATENATE(K322,L322)</f>
        <v>H23</v>
      </c>
      <c r="N322" s="4" t="s">
        <v>371</v>
      </c>
      <c r="O322" s="4">
        <v>280</v>
      </c>
      <c r="P322">
        <v>364</v>
      </c>
      <c r="Q322" t="s">
        <v>28</v>
      </c>
      <c r="R322" t="b">
        <f t="shared" ref="R322:R338" si="37">D322=S322</f>
        <v>1</v>
      </c>
      <c r="S322" s="4" t="s">
        <v>847</v>
      </c>
      <c r="T322" s="3">
        <v>1170</v>
      </c>
      <c r="U322" s="4" t="s">
        <v>25</v>
      </c>
      <c r="V322" s="5">
        <v>24.033999999999999</v>
      </c>
      <c r="W322" s="5">
        <v>26.297999999999998</v>
      </c>
      <c r="X322" s="3" t="s">
        <v>848</v>
      </c>
      <c r="Y322" s="12">
        <f t="shared" ref="Y322:Y372" si="38">V322-W322</f>
        <v>-2.2639999999999993</v>
      </c>
      <c r="AA322" t="b">
        <f t="shared" ref="AA322:AA338" si="39">S322=AC322</f>
        <v>1</v>
      </c>
      <c r="AB322" s="18" t="s">
        <v>849</v>
      </c>
      <c r="AC322" s="18" t="s">
        <v>847</v>
      </c>
      <c r="AD322" s="26">
        <v>678.18</v>
      </c>
      <c r="AE322" s="26"/>
      <c r="AF322" s="26">
        <v>259</v>
      </c>
      <c r="AG322" s="26">
        <v>5253</v>
      </c>
      <c r="AH322" s="3"/>
      <c r="AL322" s="3">
        <v>1170</v>
      </c>
      <c r="AM322" s="34">
        <v>678.18</v>
      </c>
      <c r="AN322" s="40">
        <f>(AM322-122)/3</f>
        <v>185.39333333333332</v>
      </c>
      <c r="AO322" s="40">
        <f>AN322*1.0425+1.2088</f>
        <v>194.48134999999996</v>
      </c>
      <c r="AP322" s="34"/>
      <c r="AQ322" s="3"/>
      <c r="AR322" s="3"/>
      <c r="AS322" s="4" t="s">
        <v>25</v>
      </c>
      <c r="AU322" s="3" t="s">
        <v>1064</v>
      </c>
    </row>
    <row r="323" spans="1:47" x14ac:dyDescent="0.25">
      <c r="A323" s="4"/>
      <c r="B323" s="4"/>
      <c r="C323" s="4">
        <v>239</v>
      </c>
      <c r="D323" s="4" t="s">
        <v>850</v>
      </c>
      <c r="E323" s="5">
        <v>23.68</v>
      </c>
      <c r="F323" s="5">
        <v>39.399000000000001</v>
      </c>
      <c r="G323" s="13" t="s">
        <v>24</v>
      </c>
      <c r="H323" s="5" t="s">
        <v>19</v>
      </c>
      <c r="I323" s="5" t="s">
        <v>31</v>
      </c>
      <c r="J323" s="4"/>
      <c r="K323" s="4" t="s">
        <v>67</v>
      </c>
      <c r="L323" s="4">
        <v>23</v>
      </c>
      <c r="M323" s="4" t="str">
        <f t="shared" si="36"/>
        <v>J23</v>
      </c>
      <c r="N323" s="4" t="s">
        <v>385</v>
      </c>
      <c r="O323" s="4">
        <v>370</v>
      </c>
      <c r="P323">
        <v>365</v>
      </c>
      <c r="Q323" t="s">
        <v>28</v>
      </c>
      <c r="R323" t="b">
        <f t="shared" si="37"/>
        <v>1</v>
      </c>
      <c r="S323" s="4" t="s">
        <v>850</v>
      </c>
      <c r="T323" s="3">
        <v>1171</v>
      </c>
      <c r="U323" s="5" t="s">
        <v>31</v>
      </c>
      <c r="V323" s="5">
        <v>23.68</v>
      </c>
      <c r="W323" s="5">
        <v>39.399000000000001</v>
      </c>
      <c r="X323" s="3" t="s">
        <v>851</v>
      </c>
      <c r="Y323" s="12">
        <f t="shared" si="38"/>
        <v>-15.719000000000001</v>
      </c>
      <c r="AA323" t="b">
        <f t="shared" si="39"/>
        <v>1</v>
      </c>
      <c r="AB323" s="18" t="s">
        <v>852</v>
      </c>
      <c r="AC323" s="18" t="s">
        <v>850</v>
      </c>
      <c r="AD323" s="26" t="s">
        <v>374</v>
      </c>
      <c r="AE323" s="26"/>
      <c r="AF323" s="26" t="s">
        <v>374</v>
      </c>
      <c r="AG323" s="26" t="s">
        <v>374</v>
      </c>
      <c r="AH323" s="3"/>
      <c r="AL323" s="3">
        <v>1171</v>
      </c>
      <c r="AM323" s="34" t="s">
        <v>374</v>
      </c>
      <c r="AN323" s="17"/>
      <c r="AO323" s="17"/>
      <c r="AP323" s="34"/>
      <c r="AQ323" s="3"/>
      <c r="AR323" s="3"/>
      <c r="AS323" s="5" t="s">
        <v>31</v>
      </c>
      <c r="AU323" s="3" t="s">
        <v>31</v>
      </c>
    </row>
    <row r="324" spans="1:47" x14ac:dyDescent="0.25">
      <c r="A324" s="4"/>
      <c r="B324" s="4"/>
      <c r="C324" s="4">
        <v>287</v>
      </c>
      <c r="D324" s="4" t="s">
        <v>853</v>
      </c>
      <c r="E324" s="5">
        <v>23.536999999999999</v>
      </c>
      <c r="F324" s="5" t="s">
        <v>31</v>
      </c>
      <c r="G324" s="13" t="s">
        <v>24</v>
      </c>
      <c r="H324" s="5" t="s">
        <v>31</v>
      </c>
      <c r="I324" s="4" t="s">
        <v>31</v>
      </c>
      <c r="J324" s="4"/>
      <c r="K324" s="4" t="s">
        <v>70</v>
      </c>
      <c r="L324" s="4">
        <v>23</v>
      </c>
      <c r="M324" s="4" t="str">
        <f t="shared" si="36"/>
        <v>L23</v>
      </c>
      <c r="N324" s="4" t="s">
        <v>385</v>
      </c>
      <c r="O324" s="4">
        <v>372</v>
      </c>
      <c r="P324">
        <v>366</v>
      </c>
      <c r="Q324" t="s">
        <v>28</v>
      </c>
      <c r="R324" t="b">
        <f t="shared" si="37"/>
        <v>1</v>
      </c>
      <c r="S324" s="4" t="s">
        <v>853</v>
      </c>
      <c r="T324" s="3">
        <v>1172</v>
      </c>
      <c r="U324" s="4" t="s">
        <v>31</v>
      </c>
      <c r="V324" s="5">
        <v>23.536999999999999</v>
      </c>
      <c r="W324" s="5" t="s">
        <v>31</v>
      </c>
      <c r="X324" s="3" t="s">
        <v>854</v>
      </c>
      <c r="Y324" s="12" t="e">
        <f t="shared" si="38"/>
        <v>#VALUE!</v>
      </c>
      <c r="AA324" t="b">
        <f t="shared" si="39"/>
        <v>1</v>
      </c>
      <c r="AB324" s="18" t="s">
        <v>855</v>
      </c>
      <c r="AC324" s="18" t="s">
        <v>853</v>
      </c>
      <c r="AD324" s="26" t="s">
        <v>374</v>
      </c>
      <c r="AE324" s="26"/>
      <c r="AF324" s="26" t="s">
        <v>374</v>
      </c>
      <c r="AG324" s="26" t="s">
        <v>374</v>
      </c>
      <c r="AH324" s="3"/>
      <c r="AL324" s="3">
        <v>1172</v>
      </c>
      <c r="AM324" s="34" t="s">
        <v>374</v>
      </c>
      <c r="AN324" s="17"/>
      <c r="AO324" s="17"/>
      <c r="AP324" s="34"/>
      <c r="AQ324" s="3"/>
      <c r="AR324" s="3"/>
      <c r="AS324" s="4" t="s">
        <v>31</v>
      </c>
      <c r="AU324" s="3" t="s">
        <v>31</v>
      </c>
    </row>
    <row r="325" spans="1:47" x14ac:dyDescent="0.25">
      <c r="A325" s="4"/>
      <c r="B325" s="4"/>
      <c r="C325" s="4">
        <v>335</v>
      </c>
      <c r="D325" s="4" t="s">
        <v>856</v>
      </c>
      <c r="E325" s="5">
        <v>23.585000000000001</v>
      </c>
      <c r="F325" s="5" t="s">
        <v>31</v>
      </c>
      <c r="G325" s="13" t="s">
        <v>24</v>
      </c>
      <c r="H325" s="5" t="s">
        <v>31</v>
      </c>
      <c r="I325" s="4" t="s">
        <v>31</v>
      </c>
      <c r="J325" s="4"/>
      <c r="K325" s="4" t="s">
        <v>73</v>
      </c>
      <c r="L325" s="4">
        <v>23</v>
      </c>
      <c r="M325" s="4" t="str">
        <f t="shared" si="36"/>
        <v>N23</v>
      </c>
      <c r="N325" s="4" t="s">
        <v>385</v>
      </c>
      <c r="O325" s="4">
        <v>374</v>
      </c>
      <c r="P325">
        <v>367</v>
      </c>
      <c r="Q325" t="s">
        <v>28</v>
      </c>
      <c r="R325" t="b">
        <f t="shared" si="37"/>
        <v>1</v>
      </c>
      <c r="S325" s="4" t="s">
        <v>856</v>
      </c>
      <c r="T325" s="3">
        <v>1173</v>
      </c>
      <c r="U325" s="4" t="s">
        <v>31</v>
      </c>
      <c r="V325" s="5">
        <v>23.585000000000001</v>
      </c>
      <c r="W325" s="5" t="s">
        <v>31</v>
      </c>
      <c r="X325" s="3" t="s">
        <v>857</v>
      </c>
      <c r="Y325" s="12" t="e">
        <f t="shared" si="38"/>
        <v>#VALUE!</v>
      </c>
      <c r="AA325" t="b">
        <f t="shared" si="39"/>
        <v>1</v>
      </c>
      <c r="AB325" s="18" t="s">
        <v>858</v>
      </c>
      <c r="AC325" s="18" t="s">
        <v>856</v>
      </c>
      <c r="AD325" s="26" t="s">
        <v>374</v>
      </c>
      <c r="AE325" s="26"/>
      <c r="AF325" s="26" t="s">
        <v>374</v>
      </c>
      <c r="AG325" s="26" t="s">
        <v>374</v>
      </c>
      <c r="AH325" s="3"/>
      <c r="AL325" s="3">
        <v>1173</v>
      </c>
      <c r="AM325" s="34" t="s">
        <v>374</v>
      </c>
      <c r="AN325" s="17"/>
      <c r="AO325" s="17"/>
      <c r="AP325" s="34"/>
      <c r="AQ325" s="3"/>
      <c r="AR325" s="3"/>
      <c r="AS325" s="4" t="s">
        <v>31</v>
      </c>
      <c r="AU325" s="3" t="s">
        <v>31</v>
      </c>
    </row>
    <row r="326" spans="1:47" x14ac:dyDescent="0.25">
      <c r="A326" s="4"/>
      <c r="B326" s="4"/>
      <c r="C326" s="4">
        <v>383</v>
      </c>
      <c r="D326" s="4" t="s">
        <v>786</v>
      </c>
      <c r="E326" s="5" t="s">
        <v>31</v>
      </c>
      <c r="F326" s="5" t="s">
        <v>31</v>
      </c>
      <c r="G326" s="13" t="s">
        <v>31</v>
      </c>
      <c r="H326" s="5" t="s">
        <v>31</v>
      </c>
      <c r="I326" s="4" t="s">
        <v>786</v>
      </c>
      <c r="J326" s="4"/>
      <c r="K326" s="4" t="s">
        <v>76</v>
      </c>
      <c r="L326" s="4">
        <v>23</v>
      </c>
      <c r="M326" s="4" t="str">
        <f t="shared" si="36"/>
        <v>P23</v>
      </c>
      <c r="N326" s="4" t="s">
        <v>385</v>
      </c>
      <c r="O326" s="4">
        <v>376</v>
      </c>
      <c r="P326">
        <v>368</v>
      </c>
      <c r="Q326" t="s">
        <v>28</v>
      </c>
      <c r="R326" t="b">
        <f t="shared" si="37"/>
        <v>1</v>
      </c>
      <c r="S326" s="4" t="s">
        <v>786</v>
      </c>
      <c r="T326" s="3"/>
      <c r="U326" s="4" t="s">
        <v>786</v>
      </c>
      <c r="V326" s="5" t="s">
        <v>31</v>
      </c>
      <c r="W326" s="5" t="s">
        <v>31</v>
      </c>
      <c r="X326" s="3" t="s">
        <v>859</v>
      </c>
      <c r="Y326" s="12" t="e">
        <f t="shared" si="38"/>
        <v>#VALUE!</v>
      </c>
      <c r="Z326" s="23"/>
      <c r="AA326" t="b">
        <f t="shared" si="39"/>
        <v>0</v>
      </c>
      <c r="AB326" s="18" t="s">
        <v>860</v>
      </c>
      <c r="AC326" s="18"/>
      <c r="AD326" s="26" t="s">
        <v>789</v>
      </c>
      <c r="AE326" s="26" t="s">
        <v>789</v>
      </c>
      <c r="AF326" s="26" t="s">
        <v>789</v>
      </c>
      <c r="AG326" s="26" t="s">
        <v>789</v>
      </c>
      <c r="AH326" s="3"/>
      <c r="AL326" s="3" t="s">
        <v>789</v>
      </c>
      <c r="AM326" s="34" t="s">
        <v>789</v>
      </c>
      <c r="AN326" s="34" t="s">
        <v>789</v>
      </c>
      <c r="AO326" s="34" t="s">
        <v>789</v>
      </c>
      <c r="AP326" s="34" t="s">
        <v>789</v>
      </c>
      <c r="AQ326" s="26" t="s">
        <v>789</v>
      </c>
      <c r="AR326" s="26" t="s">
        <v>789</v>
      </c>
      <c r="AS326" s="4" t="s">
        <v>786</v>
      </c>
    </row>
    <row r="327" spans="1:47" x14ac:dyDescent="0.25">
      <c r="A327" s="4"/>
      <c r="B327" s="4"/>
      <c r="C327" s="4">
        <v>24</v>
      </c>
      <c r="D327" s="4" t="s">
        <v>861</v>
      </c>
      <c r="E327" s="5" t="s">
        <v>31</v>
      </c>
      <c r="F327" s="5">
        <v>26.581</v>
      </c>
      <c r="G327" s="13" t="s">
        <v>31</v>
      </c>
      <c r="H327" s="5" t="s">
        <v>24</v>
      </c>
      <c r="I327" s="4" t="s">
        <v>63</v>
      </c>
      <c r="J327" s="4"/>
      <c r="K327" s="4" t="s">
        <v>26</v>
      </c>
      <c r="L327" s="4">
        <v>24</v>
      </c>
      <c r="M327" s="4" t="str">
        <f t="shared" si="36"/>
        <v>A24</v>
      </c>
      <c r="N327" s="4" t="s">
        <v>371</v>
      </c>
      <c r="O327" s="4">
        <v>281</v>
      </c>
      <c r="P327">
        <v>369</v>
      </c>
      <c r="Q327" t="s">
        <v>28</v>
      </c>
      <c r="R327" t="b">
        <f t="shared" si="37"/>
        <v>1</v>
      </c>
      <c r="S327" s="4" t="s">
        <v>861</v>
      </c>
      <c r="T327" s="3">
        <v>1585</v>
      </c>
      <c r="U327" s="4" t="s">
        <v>63</v>
      </c>
      <c r="V327" s="5" t="s">
        <v>31</v>
      </c>
      <c r="W327" s="5">
        <v>26.581</v>
      </c>
      <c r="X327" s="3" t="s">
        <v>862</v>
      </c>
      <c r="Y327" s="12" t="e">
        <f t="shared" si="38"/>
        <v>#VALUE!</v>
      </c>
      <c r="AA327" t="b">
        <f t="shared" si="39"/>
        <v>1</v>
      </c>
      <c r="AB327" s="18" t="s">
        <v>863</v>
      </c>
      <c r="AC327" s="18" t="s">
        <v>861</v>
      </c>
      <c r="AD327" s="26">
        <v>689.24</v>
      </c>
      <c r="AE327" s="26"/>
      <c r="AF327" s="26">
        <v>77</v>
      </c>
      <c r="AG327" s="26">
        <v>1775</v>
      </c>
      <c r="AH327" s="3"/>
      <c r="AL327" s="3">
        <v>1585</v>
      </c>
      <c r="AM327" s="34">
        <v>689.24</v>
      </c>
      <c r="AN327" s="40">
        <f>(AM327-122)/3</f>
        <v>189.08</v>
      </c>
      <c r="AO327" s="40">
        <f>AN327*1.0425+1.2088</f>
        <v>198.32470000000001</v>
      </c>
      <c r="AP327" s="34"/>
      <c r="AQ327" s="3"/>
      <c r="AR327" s="3"/>
      <c r="AS327" s="4" t="s">
        <v>63</v>
      </c>
    </row>
    <row r="328" spans="1:47" x14ac:dyDescent="0.25">
      <c r="A328" s="4"/>
      <c r="B328" s="4"/>
      <c r="C328" s="4">
        <v>72</v>
      </c>
      <c r="D328" s="4" t="s">
        <v>864</v>
      </c>
      <c r="E328" s="5">
        <v>26.31</v>
      </c>
      <c r="F328" s="5">
        <v>28.318000000000001</v>
      </c>
      <c r="G328" s="13" t="s">
        <v>24</v>
      </c>
      <c r="H328" s="5" t="s">
        <v>24</v>
      </c>
      <c r="I328" s="4" t="s">
        <v>25</v>
      </c>
      <c r="J328" s="4"/>
      <c r="K328" s="4" t="s">
        <v>32</v>
      </c>
      <c r="L328" s="4">
        <v>24</v>
      </c>
      <c r="M328" s="4" t="str">
        <f t="shared" si="36"/>
        <v>C24</v>
      </c>
      <c r="N328" s="4" t="s">
        <v>371</v>
      </c>
      <c r="O328" s="4">
        <v>283</v>
      </c>
      <c r="P328">
        <v>370</v>
      </c>
      <c r="Q328" t="s">
        <v>28</v>
      </c>
      <c r="R328" t="b">
        <f t="shared" si="37"/>
        <v>1</v>
      </c>
      <c r="S328" s="4" t="s">
        <v>864</v>
      </c>
      <c r="T328" s="3">
        <v>1586</v>
      </c>
      <c r="U328" s="4" t="s">
        <v>25</v>
      </c>
      <c r="V328" s="5">
        <v>26.31</v>
      </c>
      <c r="W328" s="5">
        <v>28.318000000000001</v>
      </c>
      <c r="X328" s="3" t="s">
        <v>865</v>
      </c>
      <c r="Y328" s="12">
        <f t="shared" si="38"/>
        <v>-2.0080000000000027</v>
      </c>
      <c r="AA328" t="b">
        <f t="shared" si="39"/>
        <v>1</v>
      </c>
      <c r="AB328" s="18" t="s">
        <v>866</v>
      </c>
      <c r="AC328" s="18" t="s">
        <v>864</v>
      </c>
      <c r="AD328" s="3">
        <v>709.52</v>
      </c>
      <c r="AE328" s="3"/>
      <c r="AF328" s="3">
        <v>579</v>
      </c>
      <c r="AG328" s="26" t="s">
        <v>374</v>
      </c>
      <c r="AH328" s="3" t="s">
        <v>19</v>
      </c>
      <c r="AL328" s="3">
        <v>1586</v>
      </c>
      <c r="AM328" s="17">
        <v>709.52</v>
      </c>
      <c r="AN328" s="40">
        <f>(AM328-122)/3</f>
        <v>195.84</v>
      </c>
      <c r="AO328" s="40">
        <f>AN328*1.0425+1.2088</f>
        <v>205.37199999999999</v>
      </c>
      <c r="AP328" s="17"/>
      <c r="AQ328" s="3"/>
      <c r="AR328" s="3"/>
      <c r="AS328" s="4" t="s">
        <v>25</v>
      </c>
    </row>
    <row r="329" spans="1:47" x14ac:dyDescent="0.25">
      <c r="A329" s="4"/>
      <c r="B329" s="4"/>
      <c r="C329" s="4">
        <v>120</v>
      </c>
      <c r="D329" s="4" t="s">
        <v>867</v>
      </c>
      <c r="E329" s="5">
        <v>36.591000000000001</v>
      </c>
      <c r="F329" s="5">
        <v>26.814</v>
      </c>
      <c r="G329" s="13" t="s">
        <v>19</v>
      </c>
      <c r="H329" s="5" t="s">
        <v>24</v>
      </c>
      <c r="I329" s="4" t="s">
        <v>63</v>
      </c>
      <c r="J329" s="4"/>
      <c r="K329" s="4" t="s">
        <v>35</v>
      </c>
      <c r="L329" s="4">
        <v>24</v>
      </c>
      <c r="M329" s="4" t="str">
        <f t="shared" si="36"/>
        <v>E24</v>
      </c>
      <c r="N329" s="4" t="s">
        <v>371</v>
      </c>
      <c r="O329" s="4">
        <v>285</v>
      </c>
      <c r="P329">
        <v>371</v>
      </c>
      <c r="Q329" t="s">
        <v>28</v>
      </c>
      <c r="R329" t="b">
        <f t="shared" si="37"/>
        <v>1</v>
      </c>
      <c r="S329" s="4" t="s">
        <v>867</v>
      </c>
      <c r="T329" s="3">
        <v>1587</v>
      </c>
      <c r="U329" s="4" t="s">
        <v>63</v>
      </c>
      <c r="V329" s="5">
        <v>36.591000000000001</v>
      </c>
      <c r="W329" s="5">
        <v>26.814</v>
      </c>
      <c r="X329" s="3" t="s">
        <v>868</v>
      </c>
      <c r="Y329" s="12">
        <f t="shared" si="38"/>
        <v>9.777000000000001</v>
      </c>
      <c r="AA329" t="b">
        <f t="shared" si="39"/>
        <v>1</v>
      </c>
      <c r="AB329" s="18" t="s">
        <v>869</v>
      </c>
      <c r="AC329" s="18" t="s">
        <v>867</v>
      </c>
      <c r="AD329" s="26">
        <v>695.19</v>
      </c>
      <c r="AE329" s="26"/>
      <c r="AF329" s="26">
        <v>143</v>
      </c>
      <c r="AG329" s="26">
        <v>3173</v>
      </c>
      <c r="AH329" s="3"/>
      <c r="AL329" s="3">
        <v>1587</v>
      </c>
      <c r="AM329" s="34">
        <v>695.19</v>
      </c>
      <c r="AN329" s="40">
        <f>(AM329-122)/3</f>
        <v>191.06333333333336</v>
      </c>
      <c r="AO329" s="40">
        <f>AN329*1.0425+1.2088</f>
        <v>200.39232500000003</v>
      </c>
      <c r="AP329" s="34"/>
      <c r="AQ329" s="3"/>
      <c r="AR329" s="3"/>
      <c r="AS329" s="4" t="s">
        <v>63</v>
      </c>
    </row>
    <row r="330" spans="1:47" x14ac:dyDescent="0.25">
      <c r="A330" s="4"/>
      <c r="B330" s="4"/>
      <c r="C330" s="4">
        <v>168</v>
      </c>
      <c r="D330" s="4" t="s">
        <v>870</v>
      </c>
      <c r="E330" s="5">
        <v>25.452999999999999</v>
      </c>
      <c r="F330" s="5">
        <v>27.446999999999999</v>
      </c>
      <c r="G330" s="13" t="s">
        <v>24</v>
      </c>
      <c r="H330" s="5" t="s">
        <v>24</v>
      </c>
      <c r="I330" s="4" t="s">
        <v>25</v>
      </c>
      <c r="J330" s="4"/>
      <c r="K330" s="4" t="s">
        <v>38</v>
      </c>
      <c r="L330" s="4">
        <v>24</v>
      </c>
      <c r="M330" s="4" t="str">
        <f t="shared" si="36"/>
        <v>G24</v>
      </c>
      <c r="N330" s="4" t="s">
        <v>371</v>
      </c>
      <c r="O330" s="4">
        <v>287</v>
      </c>
      <c r="P330">
        <v>372</v>
      </c>
      <c r="Q330" t="s">
        <v>28</v>
      </c>
      <c r="R330" t="b">
        <f t="shared" si="37"/>
        <v>1</v>
      </c>
      <c r="S330" s="4" t="s">
        <v>870</v>
      </c>
      <c r="T330" s="3">
        <v>1588</v>
      </c>
      <c r="U330" s="4" t="s">
        <v>25</v>
      </c>
      <c r="V330" s="5">
        <v>25.452999999999999</v>
      </c>
      <c r="W330" s="5">
        <v>27.446999999999999</v>
      </c>
      <c r="X330" s="3" t="s">
        <v>871</v>
      </c>
      <c r="Y330" s="12">
        <f t="shared" si="38"/>
        <v>-1.9939999999999998</v>
      </c>
      <c r="AA330" t="b">
        <f t="shared" si="39"/>
        <v>1</v>
      </c>
      <c r="AB330" s="18" t="s">
        <v>872</v>
      </c>
      <c r="AC330" s="18" t="s">
        <v>870</v>
      </c>
      <c r="AD330" s="26">
        <v>698.12</v>
      </c>
      <c r="AE330" s="26"/>
      <c r="AF330" s="26">
        <v>102</v>
      </c>
      <c r="AG330" s="26">
        <v>2297</v>
      </c>
      <c r="AH330" s="3"/>
      <c r="AL330" s="3">
        <v>1588</v>
      </c>
      <c r="AM330" s="34">
        <v>698.12</v>
      </c>
      <c r="AN330" s="40">
        <f>(AM330-122)/3</f>
        <v>192.04</v>
      </c>
      <c r="AO330" s="40">
        <f>AN330*1.0425+1.2088</f>
        <v>201.41049999999998</v>
      </c>
      <c r="AP330" s="34"/>
      <c r="AQ330" s="3"/>
      <c r="AR330" s="3"/>
      <c r="AS330" s="4" t="s">
        <v>25</v>
      </c>
    </row>
    <row r="331" spans="1:47" x14ac:dyDescent="0.25">
      <c r="A331" s="4"/>
      <c r="B331" s="4"/>
      <c r="C331" s="4">
        <v>216</v>
      </c>
      <c r="D331" s="4" t="s">
        <v>873</v>
      </c>
      <c r="E331" s="5">
        <v>24.812000000000001</v>
      </c>
      <c r="F331" s="5" t="s">
        <v>31</v>
      </c>
      <c r="G331" s="13" t="s">
        <v>24</v>
      </c>
      <c r="H331" s="5" t="s">
        <v>31</v>
      </c>
      <c r="I331" s="4" t="s">
        <v>31</v>
      </c>
      <c r="J331" s="4"/>
      <c r="K331" s="4" t="s">
        <v>41</v>
      </c>
      <c r="L331" s="4">
        <v>24</v>
      </c>
      <c r="M331" s="4" t="str">
        <f t="shared" si="36"/>
        <v>I24</v>
      </c>
      <c r="N331" s="4" t="s">
        <v>385</v>
      </c>
      <c r="O331" s="4">
        <v>377</v>
      </c>
      <c r="P331">
        <v>373</v>
      </c>
      <c r="Q331" t="s">
        <v>28</v>
      </c>
      <c r="R331" t="b">
        <f t="shared" si="37"/>
        <v>1</v>
      </c>
      <c r="S331" s="4" t="s">
        <v>873</v>
      </c>
      <c r="T331" s="3">
        <v>1589</v>
      </c>
      <c r="U331" s="4" t="s">
        <v>31</v>
      </c>
      <c r="V331" s="5">
        <v>24.812000000000001</v>
      </c>
      <c r="W331" s="5" t="s">
        <v>31</v>
      </c>
      <c r="X331" s="3" t="s">
        <v>874</v>
      </c>
      <c r="Y331" s="12" t="e">
        <f t="shared" si="38"/>
        <v>#VALUE!</v>
      </c>
      <c r="AA331" t="b">
        <f t="shared" si="39"/>
        <v>1</v>
      </c>
      <c r="AB331" s="18" t="s">
        <v>875</v>
      </c>
      <c r="AC331" s="18" t="s">
        <v>873</v>
      </c>
      <c r="AD331" s="26" t="s">
        <v>374</v>
      </c>
      <c r="AE331" s="26"/>
      <c r="AF331" s="26" t="s">
        <v>374</v>
      </c>
      <c r="AG331" s="26" t="s">
        <v>374</v>
      </c>
      <c r="AH331" s="3"/>
      <c r="AL331" s="3">
        <v>1589</v>
      </c>
      <c r="AM331" s="34" t="s">
        <v>374</v>
      </c>
      <c r="AN331" s="17"/>
      <c r="AO331" s="17"/>
      <c r="AP331" s="34"/>
      <c r="AQ331" s="3"/>
      <c r="AR331" s="3"/>
      <c r="AS331" s="4" t="s">
        <v>31</v>
      </c>
    </row>
    <row r="332" spans="1:47" x14ac:dyDescent="0.25">
      <c r="A332" s="4"/>
      <c r="B332" s="4"/>
      <c r="C332" s="4">
        <v>264</v>
      </c>
      <c r="D332" s="4" t="s">
        <v>876</v>
      </c>
      <c r="E332" s="5">
        <v>26.004999999999999</v>
      </c>
      <c r="F332" s="5">
        <v>28.190999999999999</v>
      </c>
      <c r="G332" s="13" t="s">
        <v>24</v>
      </c>
      <c r="H332" s="5" t="s">
        <v>24</v>
      </c>
      <c r="I332" s="4" t="s">
        <v>25</v>
      </c>
      <c r="J332" s="4"/>
      <c r="K332" s="4" t="s">
        <v>45</v>
      </c>
      <c r="L332" s="4">
        <v>24</v>
      </c>
      <c r="M332" s="4" t="str">
        <f t="shared" si="36"/>
        <v>K24</v>
      </c>
      <c r="N332" s="4" t="s">
        <v>385</v>
      </c>
      <c r="O332" s="4">
        <v>379</v>
      </c>
      <c r="P332">
        <v>374</v>
      </c>
      <c r="Q332" t="s">
        <v>28</v>
      </c>
      <c r="R332" t="b">
        <f t="shared" si="37"/>
        <v>1</v>
      </c>
      <c r="S332" s="4" t="s">
        <v>876</v>
      </c>
      <c r="T332" s="3">
        <v>1590</v>
      </c>
      <c r="U332" s="4" t="s">
        <v>25</v>
      </c>
      <c r="V332" s="5">
        <v>26.004999999999999</v>
      </c>
      <c r="W332" s="5">
        <v>28.190999999999999</v>
      </c>
      <c r="X332" s="3" t="s">
        <v>877</v>
      </c>
      <c r="Y332" s="12">
        <f t="shared" si="38"/>
        <v>-2.1859999999999999</v>
      </c>
      <c r="AA332" t="b">
        <f t="shared" si="39"/>
        <v>1</v>
      </c>
      <c r="AB332" s="18" t="s">
        <v>878</v>
      </c>
      <c r="AC332" s="18" t="s">
        <v>876</v>
      </c>
      <c r="AD332" s="26">
        <v>698.29</v>
      </c>
      <c r="AE332" s="26"/>
      <c r="AF332" s="26">
        <v>97</v>
      </c>
      <c r="AG332" s="26">
        <v>2243</v>
      </c>
      <c r="AH332" s="3"/>
      <c r="AL332" s="3">
        <v>1590</v>
      </c>
      <c r="AM332" s="34">
        <v>698.29</v>
      </c>
      <c r="AN332" s="40">
        <f>(AM332-122)/3</f>
        <v>192.09666666666666</v>
      </c>
      <c r="AO332" s="40">
        <f>AN332*1.0425+1.2088</f>
        <v>201.46957499999999</v>
      </c>
      <c r="AP332" s="34"/>
      <c r="AQ332" s="3"/>
      <c r="AR332" s="3"/>
      <c r="AS332" s="4" t="s">
        <v>25</v>
      </c>
    </row>
    <row r="333" spans="1:47" x14ac:dyDescent="0.25">
      <c r="A333" s="4"/>
      <c r="B333" s="4"/>
      <c r="C333" s="4">
        <v>312</v>
      </c>
      <c r="D333" s="4" t="s">
        <v>879</v>
      </c>
      <c r="E333" s="5">
        <v>25.465</v>
      </c>
      <c r="F333" s="5">
        <v>27.559000000000001</v>
      </c>
      <c r="G333" s="13" t="s">
        <v>24</v>
      </c>
      <c r="H333" s="5" t="s">
        <v>24</v>
      </c>
      <c r="I333" s="4" t="s">
        <v>25</v>
      </c>
      <c r="J333" s="4"/>
      <c r="K333" s="4" t="s">
        <v>48</v>
      </c>
      <c r="L333" s="4">
        <v>24</v>
      </c>
      <c r="M333" s="4" t="str">
        <f t="shared" si="36"/>
        <v>M24</v>
      </c>
      <c r="N333" s="4" t="s">
        <v>385</v>
      </c>
      <c r="O333" s="4">
        <v>381</v>
      </c>
      <c r="P333">
        <v>375</v>
      </c>
      <c r="Q333" t="s">
        <v>28</v>
      </c>
      <c r="R333" t="b">
        <f t="shared" si="37"/>
        <v>1</v>
      </c>
      <c r="S333" s="4" t="s">
        <v>879</v>
      </c>
      <c r="T333" s="3">
        <v>1591</v>
      </c>
      <c r="U333" s="4" t="s">
        <v>25</v>
      </c>
      <c r="V333" s="5">
        <v>25.465</v>
      </c>
      <c r="W333" s="5">
        <v>27.559000000000001</v>
      </c>
      <c r="X333" s="3" t="s">
        <v>880</v>
      </c>
      <c r="Y333" s="12">
        <f t="shared" si="38"/>
        <v>-2.0940000000000012</v>
      </c>
      <c r="AA333" t="b">
        <f t="shared" si="39"/>
        <v>1</v>
      </c>
      <c r="AB333" s="18" t="s">
        <v>881</v>
      </c>
      <c r="AC333" s="18" t="s">
        <v>879</v>
      </c>
      <c r="AD333" s="26">
        <v>703.77</v>
      </c>
      <c r="AE333" s="26"/>
      <c r="AF333" s="26">
        <v>135</v>
      </c>
      <c r="AG333" s="26">
        <v>2796</v>
      </c>
      <c r="AH333" s="3"/>
      <c r="AL333" s="3">
        <v>1591</v>
      </c>
      <c r="AM333" s="34">
        <v>703.77</v>
      </c>
      <c r="AN333" s="40">
        <f>(AM333-122)/3</f>
        <v>193.92333333333332</v>
      </c>
      <c r="AO333" s="40">
        <f>AN333*1.0425+1.2088</f>
        <v>203.37387499999997</v>
      </c>
      <c r="AP333" s="34"/>
      <c r="AQ333" s="3"/>
      <c r="AR333" s="3"/>
      <c r="AS333" s="4" t="s">
        <v>25</v>
      </c>
    </row>
    <row r="334" spans="1:47" x14ac:dyDescent="0.25">
      <c r="A334" s="4"/>
      <c r="B334" s="4"/>
      <c r="C334" s="4">
        <v>360</v>
      </c>
      <c r="D334" s="4" t="s">
        <v>882</v>
      </c>
      <c r="E334" s="5">
        <v>25.190999999999999</v>
      </c>
      <c r="F334" s="5">
        <v>27.135000000000002</v>
      </c>
      <c r="G334" s="13" t="s">
        <v>24</v>
      </c>
      <c r="H334" s="5" t="s">
        <v>24</v>
      </c>
      <c r="I334" s="4" t="s">
        <v>25</v>
      </c>
      <c r="J334" s="4"/>
      <c r="K334" s="4" t="s">
        <v>51</v>
      </c>
      <c r="L334" s="4">
        <v>24</v>
      </c>
      <c r="M334" s="4" t="str">
        <f t="shared" si="36"/>
        <v>O24</v>
      </c>
      <c r="N334" s="4" t="s">
        <v>385</v>
      </c>
      <c r="O334" s="4">
        <v>383</v>
      </c>
      <c r="P334">
        <v>376</v>
      </c>
      <c r="Q334" t="s">
        <v>28</v>
      </c>
      <c r="R334" t="b">
        <f t="shared" si="37"/>
        <v>1</v>
      </c>
      <c r="S334" s="4" t="s">
        <v>882</v>
      </c>
      <c r="T334" s="3">
        <v>1592</v>
      </c>
      <c r="U334" s="4" t="s">
        <v>25</v>
      </c>
      <c r="V334" s="5">
        <v>25.190999999999999</v>
      </c>
      <c r="W334" s="5">
        <v>27.135000000000002</v>
      </c>
      <c r="X334" s="3" t="s">
        <v>883</v>
      </c>
      <c r="Y334" s="12">
        <f t="shared" si="38"/>
        <v>-1.9440000000000026</v>
      </c>
      <c r="AA334" t="b">
        <f t="shared" si="39"/>
        <v>1</v>
      </c>
      <c r="AB334" s="18" t="s">
        <v>884</v>
      </c>
      <c r="AC334" s="18" t="s">
        <v>882</v>
      </c>
      <c r="AD334" s="26">
        <v>703.41</v>
      </c>
      <c r="AE334" s="26"/>
      <c r="AF334" s="26">
        <v>102</v>
      </c>
      <c r="AG334" s="26">
        <v>2352</v>
      </c>
      <c r="AH334" s="3"/>
      <c r="AL334" s="3">
        <v>1592</v>
      </c>
      <c r="AM334" s="34">
        <v>703.41</v>
      </c>
      <c r="AN334" s="40">
        <f>(AM334-122)/3</f>
        <v>193.80333333333331</v>
      </c>
      <c r="AO334" s="40">
        <f>AN334*1.0425+1.2088</f>
        <v>203.24877499999997</v>
      </c>
      <c r="AP334" s="34"/>
      <c r="AQ334" s="3"/>
      <c r="AR334" s="3"/>
      <c r="AS334" s="4" t="s">
        <v>25</v>
      </c>
    </row>
    <row r="335" spans="1:47" x14ac:dyDescent="0.25">
      <c r="A335" s="4"/>
      <c r="B335" s="4"/>
      <c r="C335" s="4">
        <v>48</v>
      </c>
      <c r="D335" s="4" t="s">
        <v>885</v>
      </c>
      <c r="E335" s="5">
        <v>24.04</v>
      </c>
      <c r="F335" s="5" t="s">
        <v>31</v>
      </c>
      <c r="G335" s="13" t="s">
        <v>24</v>
      </c>
      <c r="H335" s="5" t="s">
        <v>31</v>
      </c>
      <c r="I335" s="4" t="s">
        <v>31</v>
      </c>
      <c r="J335" s="4"/>
      <c r="K335" s="4" t="s">
        <v>54</v>
      </c>
      <c r="L335" s="4">
        <v>24</v>
      </c>
      <c r="M335" s="4" t="str">
        <f t="shared" si="36"/>
        <v>B24</v>
      </c>
      <c r="N335" s="4" t="s">
        <v>371</v>
      </c>
      <c r="O335" s="4">
        <v>282</v>
      </c>
      <c r="P335">
        <v>377</v>
      </c>
      <c r="Q335" t="s">
        <v>28</v>
      </c>
      <c r="R335" t="b">
        <f t="shared" si="37"/>
        <v>1</v>
      </c>
      <c r="S335" s="4" t="s">
        <v>885</v>
      </c>
      <c r="T335" s="3">
        <v>1593</v>
      </c>
      <c r="U335" s="4" t="s">
        <v>31</v>
      </c>
      <c r="V335" s="5">
        <v>24.04</v>
      </c>
      <c r="W335" s="5" t="s">
        <v>31</v>
      </c>
      <c r="X335" s="3" t="s">
        <v>886</v>
      </c>
      <c r="Y335" s="12" t="e">
        <f t="shared" si="38"/>
        <v>#VALUE!</v>
      </c>
      <c r="AA335" t="b">
        <f t="shared" si="39"/>
        <v>1</v>
      </c>
      <c r="AB335" s="18" t="s">
        <v>887</v>
      </c>
      <c r="AC335" s="18" t="s">
        <v>885</v>
      </c>
      <c r="AD335" s="26" t="s">
        <v>374</v>
      </c>
      <c r="AE335" s="26"/>
      <c r="AF335" s="26" t="s">
        <v>374</v>
      </c>
      <c r="AG335" s="26" t="s">
        <v>374</v>
      </c>
      <c r="AH335" s="3"/>
      <c r="AL335" s="3">
        <v>1593</v>
      </c>
      <c r="AM335" s="34" t="s">
        <v>374</v>
      </c>
      <c r="AN335" s="17"/>
      <c r="AO335" s="17"/>
      <c r="AP335" s="34"/>
      <c r="AQ335" s="3"/>
      <c r="AR335" s="3"/>
      <c r="AS335" s="4" t="s">
        <v>31</v>
      </c>
    </row>
    <row r="336" spans="1:47" x14ac:dyDescent="0.25">
      <c r="A336" s="4"/>
      <c r="B336" s="4"/>
      <c r="C336" s="4">
        <v>96</v>
      </c>
      <c r="D336" s="4" t="s">
        <v>888</v>
      </c>
      <c r="E336" s="5">
        <v>25.696000000000002</v>
      </c>
      <c r="F336" s="5">
        <v>27.785</v>
      </c>
      <c r="G336" s="13" t="s">
        <v>24</v>
      </c>
      <c r="H336" s="5" t="s">
        <v>24</v>
      </c>
      <c r="I336" s="4" t="s">
        <v>25</v>
      </c>
      <c r="J336" s="4"/>
      <c r="K336" s="4" t="s">
        <v>57</v>
      </c>
      <c r="L336" s="4">
        <v>24</v>
      </c>
      <c r="M336" s="4" t="str">
        <f t="shared" si="36"/>
        <v>D24</v>
      </c>
      <c r="N336" s="4" t="s">
        <v>371</v>
      </c>
      <c r="O336" s="4">
        <v>284</v>
      </c>
      <c r="P336">
        <v>378</v>
      </c>
      <c r="Q336" t="s">
        <v>28</v>
      </c>
      <c r="R336" t="b">
        <f t="shared" si="37"/>
        <v>1</v>
      </c>
      <c r="S336" s="4" t="s">
        <v>888</v>
      </c>
      <c r="T336" s="3">
        <v>1594</v>
      </c>
      <c r="U336" s="4" t="s">
        <v>25</v>
      </c>
      <c r="V336" s="5">
        <v>25.696000000000002</v>
      </c>
      <c r="W336" s="5">
        <v>27.785</v>
      </c>
      <c r="X336" s="3" t="s">
        <v>889</v>
      </c>
      <c r="Y336" s="12">
        <f t="shared" si="38"/>
        <v>-2.0889999999999986</v>
      </c>
      <c r="AA336" t="b">
        <f t="shared" si="39"/>
        <v>1</v>
      </c>
      <c r="AB336" s="18" t="s">
        <v>890</v>
      </c>
      <c r="AC336" s="18" t="s">
        <v>888</v>
      </c>
      <c r="AD336" s="3">
        <v>706.73</v>
      </c>
      <c r="AE336" s="3"/>
      <c r="AF336" s="3">
        <v>663</v>
      </c>
      <c r="AG336" s="26" t="s">
        <v>374</v>
      </c>
      <c r="AH336" s="3" t="s">
        <v>19</v>
      </c>
      <c r="AL336" s="3">
        <v>1594</v>
      </c>
      <c r="AM336" s="17">
        <v>706.73</v>
      </c>
      <c r="AN336" s="40">
        <f>(AM336-122)/3</f>
        <v>194.91</v>
      </c>
      <c r="AO336" s="40">
        <f>AN336*1.0425+1.2088</f>
        <v>204.40247499999998</v>
      </c>
      <c r="AP336" s="17"/>
      <c r="AQ336" s="3"/>
      <c r="AR336" s="3"/>
      <c r="AS336" s="4" t="s">
        <v>25</v>
      </c>
    </row>
    <row r="337" spans="1:45" x14ac:dyDescent="0.25">
      <c r="A337" s="4"/>
      <c r="B337" s="4"/>
      <c r="C337" s="4">
        <v>144</v>
      </c>
      <c r="D337" s="4" t="s">
        <v>891</v>
      </c>
      <c r="E337" s="5">
        <v>25.579000000000001</v>
      </c>
      <c r="F337" s="5">
        <v>27.504000000000001</v>
      </c>
      <c r="G337" s="13" t="s">
        <v>24</v>
      </c>
      <c r="H337" s="5" t="s">
        <v>24</v>
      </c>
      <c r="I337" s="4" t="s">
        <v>25</v>
      </c>
      <c r="J337" s="4"/>
      <c r="K337" s="4" t="s">
        <v>60</v>
      </c>
      <c r="L337" s="4">
        <v>24</v>
      </c>
      <c r="M337" s="4" t="str">
        <f t="shared" si="36"/>
        <v>F24</v>
      </c>
      <c r="N337" s="4" t="s">
        <v>371</v>
      </c>
      <c r="O337" s="4">
        <v>286</v>
      </c>
      <c r="P337">
        <v>379</v>
      </c>
      <c r="Q337" t="s">
        <v>28</v>
      </c>
      <c r="R337" t="b">
        <f t="shared" si="37"/>
        <v>1</v>
      </c>
      <c r="S337" s="4" t="s">
        <v>891</v>
      </c>
      <c r="T337" s="3">
        <v>1595</v>
      </c>
      <c r="U337" s="4" t="s">
        <v>25</v>
      </c>
      <c r="V337" s="5">
        <v>25.579000000000001</v>
      </c>
      <c r="W337" s="5">
        <v>27.504000000000001</v>
      </c>
      <c r="X337" s="3" t="s">
        <v>892</v>
      </c>
      <c r="Y337" s="12">
        <f t="shared" si="38"/>
        <v>-1.9250000000000007</v>
      </c>
      <c r="AA337" t="b">
        <f t="shared" si="39"/>
        <v>1</v>
      </c>
      <c r="AB337" s="18" t="s">
        <v>893</v>
      </c>
      <c r="AC337" s="18" t="s">
        <v>891</v>
      </c>
      <c r="AD337" s="3">
        <v>709.39</v>
      </c>
      <c r="AE337" s="3"/>
      <c r="AF337" s="3">
        <v>393</v>
      </c>
      <c r="AG337" s="26" t="s">
        <v>374</v>
      </c>
      <c r="AH337" s="3" t="s">
        <v>19</v>
      </c>
      <c r="AL337" s="3">
        <v>1595</v>
      </c>
      <c r="AM337" s="17">
        <v>709.39</v>
      </c>
      <c r="AN337" s="40">
        <f>(AM337-122)/3</f>
        <v>195.79666666666665</v>
      </c>
      <c r="AO337" s="40">
        <f>AN337*1.0425+1.2088</f>
        <v>205.32682499999999</v>
      </c>
      <c r="AP337" s="17"/>
      <c r="AQ337" s="3"/>
      <c r="AR337" s="3"/>
      <c r="AS337" s="4" t="s">
        <v>25</v>
      </c>
    </row>
    <row r="338" spans="1:45" x14ac:dyDescent="0.25">
      <c r="A338" s="4"/>
      <c r="B338" s="4"/>
      <c r="C338" s="4">
        <v>192</v>
      </c>
      <c r="D338" s="4" t="s">
        <v>894</v>
      </c>
      <c r="E338" s="5">
        <v>24.893999999999998</v>
      </c>
      <c r="F338" s="5">
        <v>27.009</v>
      </c>
      <c r="G338" s="13" t="s">
        <v>24</v>
      </c>
      <c r="H338" s="5" t="s">
        <v>24</v>
      </c>
      <c r="I338" s="4" t="s">
        <v>25</v>
      </c>
      <c r="J338" s="4"/>
      <c r="K338" s="4" t="s">
        <v>64</v>
      </c>
      <c r="L338" s="4">
        <v>24</v>
      </c>
      <c r="M338" s="4" t="str">
        <f t="shared" si="36"/>
        <v>H24</v>
      </c>
      <c r="N338" s="4" t="s">
        <v>371</v>
      </c>
      <c r="O338" s="4">
        <v>288</v>
      </c>
      <c r="P338">
        <v>380</v>
      </c>
      <c r="Q338" t="s">
        <v>28</v>
      </c>
      <c r="R338" t="b">
        <f t="shared" si="37"/>
        <v>1</v>
      </c>
      <c r="S338" s="21" t="s">
        <v>894</v>
      </c>
      <c r="T338" s="22">
        <v>1596</v>
      </c>
      <c r="U338" s="21" t="s">
        <v>25</v>
      </c>
      <c r="V338" s="5">
        <v>24.893999999999998</v>
      </c>
      <c r="W338" s="5">
        <v>27.009</v>
      </c>
      <c r="X338" s="3" t="s">
        <v>895</v>
      </c>
      <c r="Y338" s="12">
        <f t="shared" si="38"/>
        <v>-2.115000000000002</v>
      </c>
      <c r="AA338" t="b">
        <f t="shared" si="39"/>
        <v>1</v>
      </c>
      <c r="AB338" s="18" t="s">
        <v>896</v>
      </c>
      <c r="AC338" s="18" t="s">
        <v>894</v>
      </c>
      <c r="AD338" s="26">
        <v>703.64</v>
      </c>
      <c r="AE338" s="26"/>
      <c r="AF338" s="26">
        <v>69</v>
      </c>
      <c r="AG338" s="26">
        <v>1742</v>
      </c>
      <c r="AH338" s="3"/>
      <c r="AL338" s="3">
        <v>1596</v>
      </c>
      <c r="AM338" s="34">
        <v>703.64</v>
      </c>
      <c r="AN338" s="40">
        <f>(AM338-122)/3</f>
        <v>193.88</v>
      </c>
      <c r="AO338" s="40">
        <f>AN338*1.0425+1.2088</f>
        <v>203.3287</v>
      </c>
      <c r="AP338" s="34"/>
      <c r="AQ338" s="3"/>
      <c r="AR338" s="3"/>
      <c r="AS338" s="4" t="s">
        <v>25</v>
      </c>
    </row>
    <row r="339" spans="1:45" x14ac:dyDescent="0.25">
      <c r="V339" s="20"/>
      <c r="W339" s="5"/>
      <c r="X339" s="3"/>
      <c r="Y339" s="12">
        <f t="shared" si="38"/>
        <v>0</v>
      </c>
      <c r="AB339" s="18"/>
      <c r="AC339" s="18"/>
      <c r="AD339" s="33" t="s">
        <v>374</v>
      </c>
      <c r="AE339" s="33"/>
      <c r="AF339" s="33" t="s">
        <v>374</v>
      </c>
      <c r="AG339" s="33" t="s">
        <v>374</v>
      </c>
      <c r="AH339" s="24"/>
      <c r="AM339" s="38" t="s">
        <v>374</v>
      </c>
      <c r="AP339" s="38"/>
    </row>
    <row r="340" spans="1:45" x14ac:dyDescent="0.25">
      <c r="V340" s="20"/>
      <c r="W340" s="5"/>
      <c r="X340" s="3"/>
      <c r="Y340" s="12">
        <f t="shared" si="38"/>
        <v>0</v>
      </c>
      <c r="AB340" s="18"/>
      <c r="AC340" s="18"/>
      <c r="AD340" s="33" t="s">
        <v>374</v>
      </c>
      <c r="AE340" s="33"/>
      <c r="AF340" s="33" t="s">
        <v>374</v>
      </c>
      <c r="AG340" s="33" t="s">
        <v>374</v>
      </c>
      <c r="AH340" s="24"/>
      <c r="AM340" s="38" t="s">
        <v>374</v>
      </c>
      <c r="AP340" s="38"/>
    </row>
    <row r="341" spans="1:45" x14ac:dyDescent="0.25">
      <c r="V341" s="20"/>
      <c r="W341" s="5"/>
      <c r="X341" s="3"/>
      <c r="Y341" s="12">
        <f t="shared" si="38"/>
        <v>0</v>
      </c>
      <c r="AB341" s="18"/>
      <c r="AC341" s="18"/>
      <c r="AD341" s="18" t="s">
        <v>374</v>
      </c>
      <c r="AE341" s="18"/>
      <c r="AF341" s="18" t="s">
        <v>374</v>
      </c>
      <c r="AG341" s="18" t="s">
        <v>374</v>
      </c>
      <c r="AM341" s="39" t="s">
        <v>374</v>
      </c>
      <c r="AP341" s="39"/>
    </row>
    <row r="342" spans="1:45" x14ac:dyDescent="0.25">
      <c r="V342" s="20"/>
      <c r="W342" s="5"/>
      <c r="X342" s="3"/>
      <c r="Y342" s="12">
        <f t="shared" si="38"/>
        <v>0</v>
      </c>
      <c r="AB342" s="18"/>
      <c r="AC342" s="18"/>
      <c r="AD342" s="18" t="s">
        <v>374</v>
      </c>
      <c r="AE342" s="18"/>
      <c r="AF342" s="18" t="s">
        <v>374</v>
      </c>
      <c r="AG342" s="18" t="s">
        <v>374</v>
      </c>
      <c r="AM342" s="39" t="s">
        <v>374</v>
      </c>
      <c r="AP342" s="39"/>
    </row>
    <row r="343" spans="1:45" x14ac:dyDescent="0.25">
      <c r="V343" s="20"/>
      <c r="W343" s="5"/>
      <c r="X343" s="3"/>
      <c r="Y343" s="12">
        <f t="shared" si="38"/>
        <v>0</v>
      </c>
    </row>
    <row r="344" spans="1:45" x14ac:dyDescent="0.25">
      <c r="V344" s="20"/>
      <c r="W344" s="5"/>
      <c r="X344" s="3"/>
      <c r="Y344" s="12">
        <f t="shared" si="38"/>
        <v>0</v>
      </c>
    </row>
    <row r="345" spans="1:45" x14ac:dyDescent="0.25">
      <c r="V345" s="20"/>
      <c r="W345" s="5"/>
      <c r="X345" s="3"/>
      <c r="Y345" s="12">
        <f t="shared" si="38"/>
        <v>0</v>
      </c>
    </row>
    <row r="346" spans="1:45" x14ac:dyDescent="0.25">
      <c r="V346" s="20"/>
      <c r="W346" s="5"/>
      <c r="X346" s="3"/>
      <c r="Y346" s="12">
        <f t="shared" si="38"/>
        <v>0</v>
      </c>
    </row>
    <row r="347" spans="1:45" x14ac:dyDescent="0.25">
      <c r="V347" s="20"/>
      <c r="W347" s="5"/>
      <c r="X347" s="3"/>
      <c r="Y347" s="12">
        <f t="shared" si="38"/>
        <v>0</v>
      </c>
    </row>
    <row r="348" spans="1:45" x14ac:dyDescent="0.25">
      <c r="V348" s="20"/>
      <c r="W348" s="5"/>
      <c r="X348" s="3"/>
      <c r="Y348" s="12">
        <f t="shared" si="38"/>
        <v>0</v>
      </c>
    </row>
    <row r="349" spans="1:45" x14ac:dyDescent="0.25">
      <c r="V349" s="20"/>
      <c r="W349" s="5"/>
      <c r="X349" s="3"/>
      <c r="Y349" s="12">
        <f t="shared" si="38"/>
        <v>0</v>
      </c>
    </row>
    <row r="350" spans="1:45" x14ac:dyDescent="0.25">
      <c r="V350" s="20"/>
      <c r="W350" s="5"/>
      <c r="X350" s="3"/>
      <c r="Y350" s="12">
        <f t="shared" si="38"/>
        <v>0</v>
      </c>
    </row>
    <row r="351" spans="1:45" x14ac:dyDescent="0.25">
      <c r="V351" s="20"/>
      <c r="W351" s="5"/>
      <c r="X351" s="3"/>
      <c r="Y351" s="12">
        <f t="shared" si="38"/>
        <v>0</v>
      </c>
    </row>
    <row r="352" spans="1:45" x14ac:dyDescent="0.25">
      <c r="V352" s="20"/>
      <c r="W352" s="5"/>
      <c r="X352" s="3"/>
      <c r="Y352" s="12">
        <f t="shared" si="38"/>
        <v>0</v>
      </c>
    </row>
    <row r="353" spans="22:25" x14ac:dyDescent="0.25">
      <c r="V353" s="20"/>
      <c r="W353" s="5"/>
      <c r="X353" s="3"/>
      <c r="Y353" s="12">
        <f t="shared" si="38"/>
        <v>0</v>
      </c>
    </row>
    <row r="354" spans="22:25" x14ac:dyDescent="0.25">
      <c r="V354" s="20"/>
      <c r="W354" s="5"/>
      <c r="X354" s="3"/>
      <c r="Y354" s="12">
        <f t="shared" si="38"/>
        <v>0</v>
      </c>
    </row>
    <row r="355" spans="22:25" x14ac:dyDescent="0.25">
      <c r="V355" s="20"/>
      <c r="W355" s="5"/>
      <c r="X355" s="3"/>
      <c r="Y355" s="12">
        <f t="shared" si="38"/>
        <v>0</v>
      </c>
    </row>
    <row r="356" spans="22:25" x14ac:dyDescent="0.25">
      <c r="V356" s="20"/>
      <c r="W356" s="5"/>
      <c r="X356" s="3"/>
      <c r="Y356" s="12">
        <f t="shared" si="38"/>
        <v>0</v>
      </c>
    </row>
    <row r="357" spans="22:25" x14ac:dyDescent="0.25">
      <c r="V357" s="20"/>
      <c r="W357" s="5"/>
      <c r="X357" s="3"/>
      <c r="Y357" s="12">
        <f t="shared" si="38"/>
        <v>0</v>
      </c>
    </row>
    <row r="358" spans="22:25" x14ac:dyDescent="0.25">
      <c r="V358" s="20"/>
      <c r="W358" s="5"/>
      <c r="X358" s="3"/>
      <c r="Y358" s="12">
        <f t="shared" si="38"/>
        <v>0</v>
      </c>
    </row>
    <row r="359" spans="22:25" x14ac:dyDescent="0.25">
      <c r="V359" s="20"/>
      <c r="W359" s="5"/>
      <c r="X359" s="3"/>
      <c r="Y359" s="12">
        <f t="shared" si="38"/>
        <v>0</v>
      </c>
    </row>
    <row r="360" spans="22:25" x14ac:dyDescent="0.25">
      <c r="V360" s="20"/>
      <c r="W360" s="5"/>
      <c r="X360" s="3"/>
      <c r="Y360" s="12">
        <f t="shared" si="38"/>
        <v>0</v>
      </c>
    </row>
    <row r="361" spans="22:25" x14ac:dyDescent="0.25">
      <c r="V361" s="20"/>
      <c r="W361" s="5"/>
      <c r="X361" s="3"/>
      <c r="Y361" s="12">
        <f t="shared" si="38"/>
        <v>0</v>
      </c>
    </row>
    <row r="362" spans="22:25" x14ac:dyDescent="0.25">
      <c r="V362" s="20"/>
      <c r="W362" s="5"/>
      <c r="X362" s="3"/>
      <c r="Y362" s="12">
        <f t="shared" si="38"/>
        <v>0</v>
      </c>
    </row>
    <row r="363" spans="22:25" x14ac:dyDescent="0.25">
      <c r="V363" s="20"/>
      <c r="W363" s="5"/>
      <c r="X363" s="3"/>
      <c r="Y363" s="12">
        <f t="shared" si="38"/>
        <v>0</v>
      </c>
    </row>
    <row r="364" spans="22:25" x14ac:dyDescent="0.25">
      <c r="V364" s="20"/>
      <c r="W364" s="5"/>
      <c r="X364" s="3"/>
      <c r="Y364" s="12">
        <f t="shared" si="38"/>
        <v>0</v>
      </c>
    </row>
    <row r="365" spans="22:25" x14ac:dyDescent="0.25">
      <c r="V365" s="20"/>
      <c r="W365" s="5"/>
      <c r="X365" s="3"/>
      <c r="Y365" s="12">
        <f t="shared" si="38"/>
        <v>0</v>
      </c>
    </row>
    <row r="366" spans="22:25" x14ac:dyDescent="0.25">
      <c r="V366" s="20"/>
      <c r="W366" s="5"/>
      <c r="X366" s="3"/>
      <c r="Y366" s="12">
        <f t="shared" si="38"/>
        <v>0</v>
      </c>
    </row>
    <row r="367" spans="22:25" x14ac:dyDescent="0.25">
      <c r="V367" s="20"/>
      <c r="W367" s="5"/>
      <c r="X367" s="3"/>
      <c r="Y367" s="12">
        <f t="shared" si="38"/>
        <v>0</v>
      </c>
    </row>
    <row r="368" spans="22:25" x14ac:dyDescent="0.25">
      <c r="V368" s="20"/>
      <c r="W368" s="5"/>
      <c r="X368" s="3"/>
      <c r="Y368" s="12">
        <f t="shared" si="38"/>
        <v>0</v>
      </c>
    </row>
    <row r="369" spans="22:25" x14ac:dyDescent="0.25">
      <c r="V369" s="20"/>
      <c r="W369" s="5"/>
      <c r="X369" s="3"/>
      <c r="Y369" s="12">
        <f t="shared" si="38"/>
        <v>0</v>
      </c>
    </row>
    <row r="370" spans="22:25" x14ac:dyDescent="0.25">
      <c r="V370" s="20"/>
      <c r="W370" s="5"/>
      <c r="X370" s="3"/>
      <c r="Y370" s="12">
        <f t="shared" si="38"/>
        <v>0</v>
      </c>
    </row>
    <row r="371" spans="22:25" x14ac:dyDescent="0.25">
      <c r="V371" s="20"/>
      <c r="W371" s="5"/>
      <c r="X371" s="3"/>
      <c r="Y371" s="12">
        <f t="shared" si="38"/>
        <v>0</v>
      </c>
    </row>
    <row r="372" spans="22:25" x14ac:dyDescent="0.25">
      <c r="V372" s="20"/>
      <c r="W372" s="5"/>
      <c r="X372" s="3"/>
      <c r="Y372" s="12">
        <f t="shared" si="38"/>
        <v>0</v>
      </c>
    </row>
  </sheetData>
  <sortState xmlns:xlrd2="http://schemas.microsoft.com/office/spreadsheetml/2017/richdata2" ref="A2:AS372">
    <sortCondition ref="P2:P372"/>
  </sortState>
  <phoneticPr fontId="18" type="noConversion"/>
  <conditionalFormatting sqref="A1:AA1 AC1 A3:R338 AB343:AG1048576 A2:XFD2 S164:AA338 A339:AA1048576 U2:U31 AD2:AF31 AL1:AL1048576 AM2:AM163 AP2:AP163 AS1:AS1048576 AH1:XFD1 AN3:AO206 S3:XFD163 AH164:XFD1048576">
    <cfRule type="containsText" dxfId="22" priority="115" operator="containsText" text="fALSE">
      <formula>NOT(ISERROR(SEARCH("fALSE",A1)))</formula>
    </cfRule>
  </conditionalFormatting>
  <conditionalFormatting sqref="A2:XFD2 S164:AA338 A339:AA1048576 A1:AA1 AC1 A3:R338 AB343:AG1048576 U2:U31 AD2:AF31 AL1:AL1048576 AM2:AM163 AP2:AP163 AS1:AS1048576 AH1:XFD1 AN3:AO206 S3:XFD163 AH164:XFD1048576">
    <cfRule type="containsText" dxfId="21" priority="121" operator="containsText" text="RT">
      <formula>NOT(ISERROR(SEARCH("RT",A1)))</formula>
    </cfRule>
  </conditionalFormatting>
  <conditionalFormatting sqref="Y2:Y372">
    <cfRule type="cellIs" dxfId="20" priority="116" operator="lessThan">
      <formula>0</formula>
    </cfRule>
    <cfRule type="cellIs" dxfId="19" priority="117" operator="greaterThan">
      <formula>0</formula>
    </cfRule>
    <cfRule type="cellIs" dxfId="18" priority="119" operator="lessThan">
      <formula>0</formula>
    </cfRule>
    <cfRule type="cellIs" dxfId="17" priority="120" operator="greaterThan">
      <formula>0</formula>
    </cfRule>
  </conditionalFormatting>
  <conditionalFormatting sqref="U2:U31 AD2:AF31 AM2:AM31 AP2:AP31 AS2:AS31">
    <cfRule type="containsText" dxfId="16" priority="19" operator="containsText" text="fALSE">
      <formula>NOT(ISERROR(SEARCH("fALSE",U2)))</formula>
    </cfRule>
    <cfRule type="containsText" dxfId="15" priority="20" operator="containsText" text="RT">
      <formula>NOT(ISERROR(SEARCH("RT",U2)))</formula>
    </cfRule>
  </conditionalFormatting>
  <conditionalFormatting sqref="AN2:AO206">
    <cfRule type="containsText" dxfId="14" priority="6" operator="containsText" text="RT">
      <formula>NOT(ISERROR(SEARCH("RT",AN2)))</formula>
    </cfRule>
  </conditionalFormatting>
  <conditionalFormatting sqref="AQ4:AR4">
    <cfRule type="containsText" dxfId="13" priority="5" operator="containsText" text="RT">
      <formula>NOT(ISERROR(SEARCH("RT",AQ4)))</formula>
    </cfRule>
  </conditionalFormatting>
  <conditionalFormatting sqref="AQ17:AR17">
    <cfRule type="containsText" dxfId="12" priority="4" operator="containsText" text="RT">
      <formula>NOT(ISERROR(SEARCH("RT",AQ17)))</formula>
    </cfRule>
  </conditionalFormatting>
  <conditionalFormatting sqref="AQ24:AR24">
    <cfRule type="containsText" dxfId="11" priority="3" operator="containsText" text="RT">
      <formula>NOT(ISERROR(SEARCH("RT",AQ24)))</formula>
    </cfRule>
  </conditionalFormatting>
  <conditionalFormatting sqref="AQ178:AR180">
    <cfRule type="containsText" dxfId="10" priority="2" operator="containsText" text="RT">
      <formula>NOT(ISERROR(SEARCH("RT",AQ178)))</formula>
    </cfRule>
  </conditionalFormatting>
  <conditionalFormatting sqref="AQ184:AR184">
    <cfRule type="containsText" dxfId="9" priority="1" operator="containsText" text="RT">
      <formula>NOT(ISERROR(SEARCH("RT",AQ184)))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7"/>
  <sheetViews>
    <sheetView workbookViewId="0">
      <selection sqref="A1:XFD1048576"/>
    </sheetView>
  </sheetViews>
  <sheetFormatPr defaultColWidth="8.85546875" defaultRowHeight="15" x14ac:dyDescent="0.25"/>
  <cols>
    <col min="2" max="2" width="13.42578125" bestFit="1" customWidth="1"/>
    <col min="14" max="14" width="13.42578125" bestFit="1" customWidth="1"/>
    <col min="15" max="15" width="12.42578125" bestFit="1" customWidth="1"/>
  </cols>
  <sheetData>
    <row r="1" spans="1:9" x14ac:dyDescent="0.25">
      <c r="B1" s="9" t="s">
        <v>3</v>
      </c>
      <c r="C1" t="s">
        <v>17</v>
      </c>
      <c r="D1" s="10" t="s">
        <v>8</v>
      </c>
      <c r="E1" s="11" t="s">
        <v>4</v>
      </c>
      <c r="F1" s="11" t="s">
        <v>5</v>
      </c>
      <c r="G1" t="s">
        <v>12</v>
      </c>
      <c r="H1" s="1" t="s">
        <v>18</v>
      </c>
      <c r="I1" s="15" t="s">
        <v>19</v>
      </c>
    </row>
    <row r="2" spans="1:9" x14ac:dyDescent="0.25">
      <c r="A2" s="2" t="s">
        <v>28</v>
      </c>
      <c r="B2" s="4" t="s">
        <v>86</v>
      </c>
      <c r="C2" s="3">
        <v>1521</v>
      </c>
      <c r="D2" s="4" t="s">
        <v>63</v>
      </c>
      <c r="E2" s="5">
        <v>34.713000000000001</v>
      </c>
      <c r="F2" s="5">
        <v>29.852</v>
      </c>
      <c r="G2" s="3" t="s">
        <v>87</v>
      </c>
      <c r="H2" s="12">
        <f t="shared" ref="H2:H7" si="0">E2-F2</f>
        <v>4.8610000000000007</v>
      </c>
      <c r="I2" s="15" t="s">
        <v>19</v>
      </c>
    </row>
    <row r="3" spans="1:9" x14ac:dyDescent="0.25">
      <c r="A3" s="3" t="s">
        <v>28</v>
      </c>
      <c r="B3" s="4" t="s">
        <v>110</v>
      </c>
      <c r="C3" s="3">
        <v>1533</v>
      </c>
      <c r="D3" s="5" t="s">
        <v>19</v>
      </c>
      <c r="E3" s="5" t="s">
        <v>31</v>
      </c>
      <c r="F3" s="5" t="s">
        <v>31</v>
      </c>
      <c r="G3" s="3" t="s">
        <v>111</v>
      </c>
      <c r="H3" s="12" t="e">
        <f t="shared" si="0"/>
        <v>#VALUE!</v>
      </c>
      <c r="I3" s="16" t="s">
        <v>19</v>
      </c>
    </row>
    <row r="4" spans="1:9" x14ac:dyDescent="0.25">
      <c r="A4" s="3" t="s">
        <v>28</v>
      </c>
      <c r="B4" s="4" t="s">
        <v>238</v>
      </c>
      <c r="C4" s="3">
        <v>3186</v>
      </c>
      <c r="D4" s="4" t="s">
        <v>25</v>
      </c>
      <c r="E4" s="5">
        <v>31.963000000000001</v>
      </c>
      <c r="F4" s="5">
        <v>24.873000000000001</v>
      </c>
      <c r="G4" s="3" t="s">
        <v>239</v>
      </c>
      <c r="H4" s="12">
        <f t="shared" si="0"/>
        <v>7.09</v>
      </c>
      <c r="I4" s="15" t="s">
        <v>19</v>
      </c>
    </row>
    <row r="5" spans="1:9" x14ac:dyDescent="0.25">
      <c r="A5" s="3" t="s">
        <v>28</v>
      </c>
      <c r="B5" s="4" t="s">
        <v>282</v>
      </c>
      <c r="C5" s="3">
        <v>3208</v>
      </c>
      <c r="D5" s="4" t="s">
        <v>25</v>
      </c>
      <c r="E5" s="5">
        <v>30.454999999999998</v>
      </c>
      <c r="F5" s="5">
        <v>24.097000000000001</v>
      </c>
      <c r="G5" s="3" t="s">
        <v>283</v>
      </c>
      <c r="H5" s="12">
        <f t="shared" si="0"/>
        <v>6.357999999999997</v>
      </c>
      <c r="I5" s="15" t="s">
        <v>19</v>
      </c>
    </row>
    <row r="6" spans="1:9" x14ac:dyDescent="0.25">
      <c r="A6" s="3" t="s">
        <v>28</v>
      </c>
      <c r="B6" s="4" t="s">
        <v>284</v>
      </c>
      <c r="C6" s="3">
        <v>3209</v>
      </c>
      <c r="D6" s="5" t="s">
        <v>19</v>
      </c>
      <c r="E6" s="5" t="s">
        <v>31</v>
      </c>
      <c r="F6" s="5">
        <v>35.859000000000002</v>
      </c>
      <c r="G6" s="3" t="s">
        <v>285</v>
      </c>
      <c r="H6" s="12" t="e">
        <f t="shared" si="0"/>
        <v>#VALUE!</v>
      </c>
      <c r="I6" s="16" t="s">
        <v>19</v>
      </c>
    </row>
    <row r="7" spans="1:9" x14ac:dyDescent="0.25">
      <c r="A7" s="3" t="s">
        <v>28</v>
      </c>
      <c r="B7" s="4" t="s">
        <v>354</v>
      </c>
      <c r="C7" s="3">
        <v>3246</v>
      </c>
      <c r="D7" s="4" t="s">
        <v>25</v>
      </c>
      <c r="E7" s="5">
        <v>29.364000000000001</v>
      </c>
      <c r="F7" s="5">
        <v>24.173999999999999</v>
      </c>
      <c r="G7" s="3" t="s">
        <v>355</v>
      </c>
      <c r="H7" s="12">
        <f t="shared" si="0"/>
        <v>5.1900000000000013</v>
      </c>
      <c r="I7" s="15" t="s">
        <v>19</v>
      </c>
    </row>
  </sheetData>
  <sortState xmlns:xlrd2="http://schemas.microsoft.com/office/spreadsheetml/2017/richdata2" ref="A2:O10">
    <sortCondition ref="B2:B10"/>
  </sortState>
  <conditionalFormatting sqref="A2:A7">
    <cfRule type="containsText" dxfId="8" priority="1" operator="containsText" text="fALSE">
      <formula>NOT(ISERROR(SEARCH("fALSE",A2)))</formula>
    </cfRule>
    <cfRule type="containsText" dxfId="7" priority="3" operator="containsText" text="RT">
      <formula>NOT(ISERROR(SEARCH("RT",A2)))</formula>
    </cfRule>
  </conditionalFormatting>
  <conditionalFormatting sqref="B1:I7">
    <cfRule type="containsText" dxfId="6" priority="10" operator="containsText" text="fALSE">
      <formula>NOT(ISERROR(SEARCH("fALSE",B1)))</formula>
    </cfRule>
    <cfRule type="containsText" dxfId="5" priority="13" operator="containsText" text="fALSE">
      <formula>NOT(ISERROR(SEARCH("fALSE",B1)))</formula>
    </cfRule>
    <cfRule type="containsText" dxfId="4" priority="16" operator="containsText" text="RT">
      <formula>NOT(ISERROR(SEARCH("RT",B1)))</formula>
    </cfRule>
  </conditionalFormatting>
  <conditionalFormatting sqref="H2:H7">
    <cfRule type="cellIs" dxfId="3" priority="11" operator="lessThan">
      <formula>0</formula>
    </cfRule>
    <cfRule type="cellIs" dxfId="2" priority="12" operator="greaterThan">
      <formula>0</formula>
    </cfRule>
    <cfRule type="cellIs" dxfId="1" priority="14" operator="lessThan">
      <formula>0</formula>
    </cfRule>
    <cfRule type="cellIs" dxfId="0" priority="15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090623-384-1-q140neo GT Quant B</vt:lpstr>
      <vt:lpstr>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Bess Contreras</dc:creator>
  <cp:lastModifiedBy>Jin</cp:lastModifiedBy>
  <cp:revision/>
  <dcterms:created xsi:type="dcterms:W3CDTF">2023-09-07T02:43:26Z</dcterms:created>
  <dcterms:modified xsi:type="dcterms:W3CDTF">2023-09-12T19:17:44Z</dcterms:modified>
</cp:coreProperties>
</file>