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heckCompatibility="1" defaultThemeVersion="166925"/>
  <mc:AlternateContent xmlns:mc="http://schemas.openxmlformats.org/markup-compatibility/2006">
    <mc:Choice Requires="x15">
      <x15ac:absPath xmlns:x15ac="http://schemas.microsoft.com/office/spreadsheetml/2010/11/ac" url="Z:\_AUTOMATION\AnalysisSS\"/>
    </mc:Choice>
  </mc:AlternateContent>
  <xr:revisionPtr revIDLastSave="0" documentId="13_ncr:1_{48A96AF1-55FB-4277-BA07-642AC5F98363}" xr6:coauthVersionLast="45" xr6:coauthVersionMax="45" xr10:uidLastSave="{00000000-0000-0000-0000-000000000000}"/>
  <bookViews>
    <workbookView xWindow="10095" yWindow="2025" windowWidth="32070" windowHeight="14370" xr2:uid="{00000000-000D-0000-FFFF-FFFF00000000}"/>
  </bookViews>
  <sheets>
    <sheet name="090623-384-4-fxn-r62-q140neo GT" sheetId="1" r:id="rId1"/>
    <sheet name="No RT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N250" i="1" l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249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43" i="1"/>
  <c r="AN244" i="1"/>
  <c r="AN245" i="1"/>
  <c r="AN246" i="1"/>
  <c r="AN248" i="1"/>
  <c r="AN333" i="1"/>
  <c r="AN334" i="1"/>
  <c r="AN335" i="1"/>
  <c r="AN336" i="1"/>
  <c r="AN337" i="1"/>
  <c r="AN338" i="1"/>
  <c r="AN339" i="1"/>
  <c r="AN340" i="1"/>
  <c r="AN341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63" i="1"/>
  <c r="AN64" i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2" i="1"/>
  <c r="Y74" i="1" l="1"/>
  <c r="Y77" i="1"/>
  <c r="Y123" i="1"/>
  <c r="Y125" i="1"/>
  <c r="Y124" i="1"/>
  <c r="Y287" i="1"/>
  <c r="Y281" i="1"/>
  <c r="Y286" i="1"/>
  <c r="Y258" i="1"/>
  <c r="Y283" i="1"/>
  <c r="Y294" i="1"/>
  <c r="Y291" i="1"/>
  <c r="Y72" i="1"/>
  <c r="Y90" i="1"/>
  <c r="Y298" i="1"/>
  <c r="Y94" i="1"/>
  <c r="Y91" i="1"/>
  <c r="Y295" i="1"/>
  <c r="Y211" i="1"/>
  <c r="Y205" i="1"/>
  <c r="Y212" i="1"/>
  <c r="Y172" i="1"/>
  <c r="Y171" i="1"/>
  <c r="Y223" i="1"/>
  <c r="Y185" i="1"/>
  <c r="Y176" i="1"/>
  <c r="Y214" i="1"/>
  <c r="Y221" i="1"/>
  <c r="Y227" i="1"/>
  <c r="Y183" i="1"/>
  <c r="Y299" i="1"/>
  <c r="Y164" i="1"/>
  <c r="Y213" i="1"/>
  <c r="Y166" i="1"/>
  <c r="Y188" i="1"/>
  <c r="Y222" i="1"/>
  <c r="Y175" i="1"/>
  <c r="Y198" i="1"/>
  <c r="Y224" i="1"/>
  <c r="Y216" i="1"/>
  <c r="Y161" i="1"/>
  <c r="Y178" i="1"/>
  <c r="Y226" i="1"/>
  <c r="Y192" i="1"/>
  <c r="Y158" i="1"/>
  <c r="Y195" i="1"/>
  <c r="Y225" i="1"/>
  <c r="Y186" i="1"/>
  <c r="Y184" i="1"/>
  <c r="Y160" i="1"/>
  <c r="Y209" i="1"/>
  <c r="Y301" i="1"/>
  <c r="Y86" i="1"/>
  <c r="Y81" i="1"/>
  <c r="Y336" i="1"/>
  <c r="Y337" i="1"/>
  <c r="Y121" i="1"/>
  <c r="Y326" i="1"/>
  <c r="Y327" i="1"/>
  <c r="Y300" i="1"/>
  <c r="Y328" i="1"/>
  <c r="Y83" i="1"/>
  <c r="Y318" i="1"/>
  <c r="Y311" i="1"/>
  <c r="Y333" i="1"/>
  <c r="Y316" i="1"/>
  <c r="Y334" i="1"/>
  <c r="Y264" i="1"/>
  <c r="Y323" i="1"/>
  <c r="Y272" i="1"/>
  <c r="Y251" i="1"/>
  <c r="Y307" i="1"/>
  <c r="Y305" i="1"/>
  <c r="Y317" i="1"/>
  <c r="Y309" i="1"/>
  <c r="Y250" i="1"/>
  <c r="Y306" i="1"/>
  <c r="Y310" i="1"/>
  <c r="Y114" i="1"/>
  <c r="Y115" i="1"/>
  <c r="Y119" i="1"/>
  <c r="Y85" i="1"/>
  <c r="Y110" i="1"/>
  <c r="Y302" i="1"/>
  <c r="Y312" i="1"/>
  <c r="Y146" i="1"/>
  <c r="Y320" i="1"/>
  <c r="Y127" i="1"/>
  <c r="Y117" i="1"/>
  <c r="Y265" i="1"/>
  <c r="Y109" i="1"/>
  <c r="Y267" i="1"/>
  <c r="Y120" i="1"/>
  <c r="Y253" i="1"/>
  <c r="Y142" i="1"/>
  <c r="Y128" i="1"/>
  <c r="Y133" i="1"/>
  <c r="Y296" i="1"/>
  <c r="Y271" i="1"/>
  <c r="Y106" i="1"/>
  <c r="Y297" i="1"/>
  <c r="Y273" i="1"/>
  <c r="Y108" i="1"/>
  <c r="Y274" i="1"/>
  <c r="Y277" i="1"/>
  <c r="Y152" i="1"/>
  <c r="Y155" i="1"/>
  <c r="Y145" i="1"/>
  <c r="Y150" i="1"/>
  <c r="Y73" i="1"/>
  <c r="Y139" i="1"/>
  <c r="Y118" i="1"/>
  <c r="Y134" i="1"/>
  <c r="Y122" i="1"/>
  <c r="Y75" i="1"/>
  <c r="Y126" i="1"/>
  <c r="Y95" i="1"/>
  <c r="Y282" i="1"/>
  <c r="Y285" i="1"/>
  <c r="Y276" i="1"/>
  <c r="Y154" i="1"/>
  <c r="Y256" i="1"/>
  <c r="Y144" i="1"/>
  <c r="Y137" i="1"/>
  <c r="Y68" i="1"/>
  <c r="Y129" i="1"/>
  <c r="Y138" i="1"/>
  <c r="Y263" i="1"/>
  <c r="Y97" i="1"/>
  <c r="Y69" i="1"/>
  <c r="Y230" i="1"/>
  <c r="Y233" i="1"/>
  <c r="Y239" i="1"/>
  <c r="Y235" i="1"/>
  <c r="Y244" i="1"/>
  <c r="Y240" i="1"/>
  <c r="Y18" i="1"/>
  <c r="Y52" i="1"/>
  <c r="Y6" i="1"/>
  <c r="Y37" i="1"/>
  <c r="Y20" i="1"/>
  <c r="Y43" i="1"/>
  <c r="Y36" i="1"/>
  <c r="Y16" i="1"/>
  <c r="Y5" i="1"/>
  <c r="Y41" i="1"/>
  <c r="Y54" i="1"/>
  <c r="Y51" i="1"/>
  <c r="Y48" i="1"/>
  <c r="Y8" i="1"/>
  <c r="Y40" i="1"/>
  <c r="Y15" i="1"/>
  <c r="Y4" i="1"/>
  <c r="Y3" i="1"/>
  <c r="Y25" i="1"/>
  <c r="Y28" i="1"/>
  <c r="Y57" i="1"/>
  <c r="Y60" i="1"/>
  <c r="Y44" i="1"/>
  <c r="Y46" i="1"/>
  <c r="Y33" i="1"/>
  <c r="Y27" i="1"/>
  <c r="Y22" i="1"/>
  <c r="Y13" i="1"/>
  <c r="Y42" i="1"/>
  <c r="Y30" i="1"/>
  <c r="Y38" i="1"/>
  <c r="Y31" i="1"/>
  <c r="Y50" i="1"/>
  <c r="Y61" i="1"/>
  <c r="Y45" i="1"/>
  <c r="W4" i="1" l="1"/>
  <c r="W5" i="1"/>
  <c r="W6" i="1"/>
  <c r="W8" i="1"/>
  <c r="W12" i="1"/>
  <c r="W13" i="1"/>
  <c r="W15" i="1"/>
  <c r="W16" i="1"/>
  <c r="W18" i="1"/>
  <c r="W20" i="1"/>
  <c r="W22" i="1"/>
  <c r="W25" i="1"/>
  <c r="W27" i="1"/>
  <c r="W28" i="1"/>
  <c r="W30" i="1"/>
  <c r="W31" i="1"/>
  <c r="W33" i="1"/>
  <c r="W36" i="1"/>
  <c r="W37" i="1"/>
  <c r="W38" i="1"/>
  <c r="W40" i="1"/>
  <c r="W41" i="1"/>
  <c r="W42" i="1"/>
  <c r="W43" i="1"/>
  <c r="W44" i="1"/>
  <c r="W45" i="1"/>
  <c r="W46" i="1"/>
  <c r="W48" i="1"/>
  <c r="W50" i="1"/>
  <c r="W51" i="1"/>
  <c r="W52" i="1"/>
  <c r="W54" i="1"/>
  <c r="W57" i="1"/>
  <c r="W60" i="1"/>
  <c r="W61" i="1"/>
  <c r="W14" i="1"/>
  <c r="W19" i="1"/>
  <c r="W32" i="1"/>
  <c r="W34" i="1"/>
  <c r="W39" i="1"/>
  <c r="W49" i="1"/>
  <c r="W53" i="1"/>
  <c r="W2" i="1"/>
  <c r="W7" i="1"/>
  <c r="W9" i="1"/>
  <c r="W10" i="1"/>
  <c r="W11" i="1"/>
  <c r="W17" i="1"/>
  <c r="W21" i="1"/>
  <c r="W23" i="1"/>
  <c r="W24" i="1"/>
  <c r="W26" i="1"/>
  <c r="W29" i="1"/>
  <c r="W35" i="1"/>
  <c r="W47" i="1"/>
  <c r="W55" i="1"/>
  <c r="W56" i="1"/>
  <c r="W58" i="1"/>
  <c r="W59" i="1"/>
  <c r="W63" i="1"/>
  <c r="W62" i="1"/>
  <c r="W64" i="1"/>
  <c r="W230" i="1"/>
  <c r="W233" i="1"/>
  <c r="W235" i="1"/>
  <c r="W239" i="1"/>
  <c r="W240" i="1"/>
  <c r="W244" i="1"/>
  <c r="W246" i="1"/>
  <c r="W231" i="1"/>
  <c r="W232" i="1"/>
  <c r="W234" i="1"/>
  <c r="W241" i="1"/>
  <c r="W242" i="1"/>
  <c r="W229" i="1"/>
  <c r="W236" i="1"/>
  <c r="W237" i="1"/>
  <c r="W238" i="1"/>
  <c r="W243" i="1"/>
  <c r="W247" i="1"/>
  <c r="W245" i="1"/>
  <c r="W248" i="1"/>
  <c r="W68" i="1"/>
  <c r="W69" i="1"/>
  <c r="W73" i="1"/>
  <c r="W74" i="1"/>
  <c r="W75" i="1"/>
  <c r="W77" i="1"/>
  <c r="W81" i="1"/>
  <c r="W83" i="1"/>
  <c r="W84" i="1"/>
  <c r="W85" i="1"/>
  <c r="W86" i="1"/>
  <c r="W90" i="1"/>
  <c r="W91" i="1"/>
  <c r="W94" i="1"/>
  <c r="W95" i="1"/>
  <c r="W97" i="1"/>
  <c r="W106" i="1"/>
  <c r="W108" i="1"/>
  <c r="W109" i="1"/>
  <c r="W110" i="1"/>
  <c r="W114" i="1"/>
  <c r="W115" i="1"/>
  <c r="W117" i="1"/>
  <c r="W121" i="1"/>
  <c r="W122" i="1"/>
  <c r="W123" i="1"/>
  <c r="W124" i="1"/>
  <c r="W125" i="1"/>
  <c r="W126" i="1"/>
  <c r="W127" i="1"/>
  <c r="W128" i="1"/>
  <c r="W129" i="1"/>
  <c r="W133" i="1"/>
  <c r="W134" i="1"/>
  <c r="W137" i="1"/>
  <c r="W138" i="1"/>
  <c r="W139" i="1"/>
  <c r="W142" i="1"/>
  <c r="W144" i="1"/>
  <c r="W145" i="1"/>
  <c r="W146" i="1"/>
  <c r="W150" i="1"/>
  <c r="W152" i="1"/>
  <c r="W154" i="1"/>
  <c r="W156" i="1"/>
  <c r="W158" i="1"/>
  <c r="W159" i="1"/>
  <c r="W160" i="1"/>
  <c r="W161" i="1"/>
  <c r="W163" i="1"/>
  <c r="W164" i="1"/>
  <c r="W166" i="1"/>
  <c r="W168" i="1"/>
  <c r="W171" i="1"/>
  <c r="W172" i="1"/>
  <c r="W175" i="1"/>
  <c r="W176" i="1"/>
  <c r="W178" i="1"/>
  <c r="W183" i="1"/>
  <c r="W184" i="1"/>
  <c r="W185" i="1"/>
  <c r="W186" i="1"/>
  <c r="W188" i="1"/>
  <c r="W192" i="1"/>
  <c r="W195" i="1"/>
  <c r="W198" i="1"/>
  <c r="W205" i="1"/>
  <c r="W209" i="1"/>
  <c r="W210" i="1"/>
  <c r="W211" i="1"/>
  <c r="W212" i="1"/>
  <c r="W213" i="1"/>
  <c r="W214" i="1"/>
  <c r="W216" i="1"/>
  <c r="W221" i="1"/>
  <c r="W222" i="1"/>
  <c r="W223" i="1"/>
  <c r="W224" i="1"/>
  <c r="W225" i="1"/>
  <c r="W226" i="1"/>
  <c r="W227" i="1"/>
  <c r="W250" i="1"/>
  <c r="W251" i="1"/>
  <c r="W253" i="1"/>
  <c r="W256" i="1"/>
  <c r="W258" i="1"/>
  <c r="W263" i="1"/>
  <c r="W264" i="1"/>
  <c r="W265" i="1"/>
  <c r="W267" i="1"/>
  <c r="W268" i="1"/>
  <c r="W270" i="1"/>
  <c r="W271" i="1"/>
  <c r="W272" i="1"/>
  <c r="W273" i="1"/>
  <c r="W274" i="1"/>
  <c r="W276" i="1"/>
  <c r="W277" i="1"/>
  <c r="W281" i="1"/>
  <c r="W282" i="1"/>
  <c r="W283" i="1"/>
  <c r="W285" i="1"/>
  <c r="W286" i="1"/>
  <c r="W287" i="1"/>
  <c r="W291" i="1"/>
  <c r="W294" i="1"/>
  <c r="W295" i="1"/>
  <c r="W296" i="1"/>
  <c r="W297" i="1"/>
  <c r="W298" i="1"/>
  <c r="W299" i="1"/>
  <c r="W300" i="1"/>
  <c r="W301" i="1"/>
  <c r="W302" i="1"/>
  <c r="W305" i="1"/>
  <c r="W306" i="1"/>
  <c r="W307" i="1"/>
  <c r="W309" i="1"/>
  <c r="W310" i="1"/>
  <c r="W311" i="1"/>
  <c r="W312" i="1"/>
  <c r="W316" i="1"/>
  <c r="W317" i="1"/>
  <c r="W318" i="1"/>
  <c r="W320" i="1"/>
  <c r="W323" i="1"/>
  <c r="W326" i="1"/>
  <c r="W327" i="1"/>
  <c r="W328" i="1"/>
  <c r="W333" i="1"/>
  <c r="W334" i="1"/>
  <c r="W336" i="1"/>
  <c r="W337" i="1"/>
  <c r="W72" i="1"/>
  <c r="W118" i="1"/>
  <c r="W119" i="1"/>
  <c r="W120" i="1"/>
  <c r="W155" i="1"/>
  <c r="W67" i="1"/>
  <c r="W70" i="1"/>
  <c r="W76" i="1"/>
  <c r="W79" i="1"/>
  <c r="W82" i="1"/>
  <c r="W87" i="1"/>
  <c r="W88" i="1"/>
  <c r="W96" i="1"/>
  <c r="W98" i="1"/>
  <c r="W100" i="1"/>
  <c r="W105" i="1"/>
  <c r="W107" i="1"/>
  <c r="W111" i="1"/>
  <c r="W113" i="1"/>
  <c r="W116" i="1"/>
  <c r="W130" i="1"/>
  <c r="W140" i="1"/>
  <c r="W141" i="1"/>
  <c r="W143" i="1"/>
  <c r="W147" i="1"/>
  <c r="W148" i="1"/>
  <c r="W162" i="1"/>
  <c r="W165" i="1"/>
  <c r="W167" i="1"/>
  <c r="W169" i="1"/>
  <c r="W170" i="1"/>
  <c r="W174" i="1"/>
  <c r="W177" i="1"/>
  <c r="W187" i="1"/>
  <c r="W190" i="1"/>
  <c r="W193" i="1"/>
  <c r="W194" i="1"/>
  <c r="W199" i="1"/>
  <c r="W200" i="1"/>
  <c r="W206" i="1"/>
  <c r="W207" i="1"/>
  <c r="W208" i="1"/>
  <c r="W215" i="1"/>
  <c r="W257" i="1"/>
  <c r="W275" i="1"/>
  <c r="W278" i="1"/>
  <c r="W284" i="1"/>
  <c r="W292" i="1"/>
  <c r="W303" i="1"/>
  <c r="W304" i="1"/>
  <c r="W319" i="1"/>
  <c r="W325" i="1"/>
  <c r="W332" i="1"/>
  <c r="W135" i="1"/>
  <c r="W66" i="1"/>
  <c r="W71" i="1"/>
  <c r="W78" i="1"/>
  <c r="W80" i="1"/>
  <c r="W89" i="1"/>
  <c r="W92" i="1"/>
  <c r="W93" i="1"/>
  <c r="W99" i="1"/>
  <c r="W101" i="1"/>
  <c r="W103" i="1"/>
  <c r="W104" i="1"/>
  <c r="W112" i="1"/>
  <c r="W131" i="1"/>
  <c r="W132" i="1"/>
  <c r="W149" i="1"/>
  <c r="W151" i="1"/>
  <c r="W153" i="1"/>
  <c r="W157" i="1"/>
  <c r="W173" i="1"/>
  <c r="W179" i="1"/>
  <c r="W180" i="1"/>
  <c r="W181" i="1"/>
  <c r="W182" i="1"/>
  <c r="W189" i="1"/>
  <c r="W191" i="1"/>
  <c r="W196" i="1"/>
  <c r="W197" i="1"/>
  <c r="W201" i="1"/>
  <c r="W202" i="1"/>
  <c r="W203" i="1"/>
  <c r="W204" i="1"/>
  <c r="W217" i="1"/>
  <c r="W218" i="1"/>
  <c r="W219" i="1"/>
  <c r="W220" i="1"/>
  <c r="W249" i="1"/>
  <c r="W252" i="1"/>
  <c r="W254" i="1"/>
  <c r="W255" i="1"/>
  <c r="W259" i="1"/>
  <c r="W260" i="1"/>
  <c r="W261" i="1"/>
  <c r="W262" i="1"/>
  <c r="W266" i="1"/>
  <c r="W269" i="1"/>
  <c r="W279" i="1"/>
  <c r="W280" i="1"/>
  <c r="W288" i="1"/>
  <c r="W289" i="1"/>
  <c r="W290" i="1"/>
  <c r="W293" i="1"/>
  <c r="W308" i="1"/>
  <c r="W313" i="1"/>
  <c r="W314" i="1"/>
  <c r="W315" i="1"/>
  <c r="W321" i="1"/>
  <c r="W322" i="1"/>
  <c r="W324" i="1"/>
  <c r="W329" i="1"/>
  <c r="W330" i="1"/>
  <c r="W331" i="1"/>
  <c r="W335" i="1"/>
  <c r="W65" i="1"/>
  <c r="W102" i="1"/>
  <c r="W136" i="1"/>
  <c r="W228" i="1"/>
  <c r="W3" i="1"/>
  <c r="K147" i="1"/>
  <c r="K159" i="1"/>
  <c r="K175" i="1"/>
  <c r="K191" i="1"/>
  <c r="K207" i="1"/>
  <c r="K223" i="1"/>
  <c r="K239" i="1"/>
  <c r="K251" i="1"/>
  <c r="K267" i="1"/>
  <c r="K283" i="1"/>
  <c r="K309" i="1"/>
  <c r="K325" i="1"/>
  <c r="K12" i="1"/>
  <c r="K28" i="1"/>
  <c r="K44" i="1"/>
  <c r="K60" i="1"/>
  <c r="K75" i="1"/>
  <c r="K91" i="1"/>
  <c r="K107" i="1"/>
  <c r="K123" i="1"/>
  <c r="K139" i="1"/>
  <c r="K155" i="1"/>
  <c r="K167" i="1"/>
  <c r="K183" i="1"/>
  <c r="K199" i="1"/>
  <c r="K215" i="1"/>
  <c r="K231" i="1"/>
  <c r="K247" i="1"/>
  <c r="K259" i="1"/>
  <c r="K275" i="1"/>
  <c r="K291" i="1"/>
  <c r="K301" i="1"/>
  <c r="K317" i="1"/>
  <c r="K333" i="1"/>
  <c r="K5" i="1"/>
  <c r="K21" i="1"/>
  <c r="K37" i="1"/>
  <c r="K53" i="1"/>
  <c r="K68" i="1"/>
  <c r="K84" i="1"/>
  <c r="K100" i="1"/>
  <c r="K116" i="1"/>
  <c r="K132" i="1"/>
  <c r="K148" i="1"/>
  <c r="K160" i="1"/>
  <c r="K176" i="1"/>
  <c r="K192" i="1"/>
  <c r="K208" i="1"/>
  <c r="K224" i="1"/>
  <c r="K240" i="1"/>
  <c r="K252" i="1"/>
  <c r="K268" i="1"/>
  <c r="K284" i="1"/>
  <c r="K310" i="1"/>
  <c r="K326" i="1"/>
  <c r="K13" i="1"/>
  <c r="K29" i="1"/>
  <c r="K45" i="1"/>
  <c r="K61" i="1"/>
  <c r="K76" i="1"/>
  <c r="K92" i="1"/>
  <c r="K108" i="1"/>
  <c r="K124" i="1"/>
  <c r="K140" i="1"/>
  <c r="K156" i="1"/>
  <c r="K168" i="1"/>
  <c r="K184" i="1"/>
  <c r="K200" i="1"/>
  <c r="K216" i="1"/>
  <c r="K232" i="1"/>
  <c r="K248" i="1"/>
  <c r="K260" i="1"/>
  <c r="K276" i="1"/>
  <c r="K292" i="1"/>
  <c r="K302" i="1"/>
  <c r="K318" i="1"/>
  <c r="K334" i="1"/>
  <c r="K6" i="1"/>
  <c r="K22" i="1"/>
  <c r="K38" i="1"/>
  <c r="K54" i="1"/>
  <c r="K69" i="1"/>
  <c r="K85" i="1"/>
  <c r="K101" i="1"/>
  <c r="K117" i="1"/>
  <c r="K133" i="1"/>
  <c r="K149" i="1"/>
  <c r="K161" i="1"/>
  <c r="K177" i="1"/>
  <c r="K193" i="1"/>
  <c r="K209" i="1"/>
  <c r="K225" i="1"/>
  <c r="K241" i="1"/>
  <c r="K253" i="1"/>
  <c r="K269" i="1"/>
  <c r="K285" i="1"/>
  <c r="K311" i="1"/>
  <c r="K327" i="1"/>
  <c r="K14" i="1"/>
  <c r="K30" i="1"/>
  <c r="K46" i="1"/>
  <c r="K62" i="1"/>
  <c r="K77" i="1"/>
  <c r="K93" i="1"/>
  <c r="K109" i="1"/>
  <c r="K125" i="1"/>
  <c r="K141" i="1"/>
  <c r="K169" i="1"/>
  <c r="K185" i="1"/>
  <c r="K201" i="1"/>
  <c r="K217" i="1"/>
  <c r="K233" i="1"/>
  <c r="K261" i="1"/>
  <c r="K277" i="1"/>
  <c r="K293" i="1"/>
  <c r="K303" i="1"/>
  <c r="K319" i="1"/>
  <c r="K335" i="1"/>
  <c r="K7" i="1"/>
  <c r="K23" i="1"/>
  <c r="K39" i="1"/>
  <c r="K55" i="1"/>
  <c r="K70" i="1"/>
  <c r="K86" i="1"/>
  <c r="K102" i="1"/>
  <c r="K118" i="1"/>
  <c r="K134" i="1"/>
  <c r="K150" i="1"/>
  <c r="K162" i="1"/>
  <c r="K178" i="1"/>
  <c r="K194" i="1"/>
  <c r="K210" i="1"/>
  <c r="K226" i="1"/>
  <c r="K242" i="1"/>
  <c r="K254" i="1"/>
  <c r="K270" i="1"/>
  <c r="K286" i="1"/>
  <c r="K312" i="1"/>
  <c r="K328" i="1"/>
  <c r="K15" i="1"/>
  <c r="K31" i="1"/>
  <c r="K47" i="1"/>
  <c r="K63" i="1"/>
  <c r="K78" i="1"/>
  <c r="K94" i="1"/>
  <c r="K110" i="1"/>
  <c r="K126" i="1"/>
  <c r="K142" i="1"/>
  <c r="K170" i="1"/>
  <c r="K186" i="1"/>
  <c r="K202" i="1"/>
  <c r="K218" i="1"/>
  <c r="K234" i="1"/>
  <c r="K262" i="1"/>
  <c r="K278" i="1"/>
  <c r="K294" i="1"/>
  <c r="K304" i="1"/>
  <c r="K320" i="1"/>
  <c r="K336" i="1"/>
  <c r="K8" i="1"/>
  <c r="K24" i="1"/>
  <c r="K40" i="1"/>
  <c r="K56" i="1"/>
  <c r="K71" i="1"/>
  <c r="K87" i="1"/>
  <c r="K103" i="1"/>
  <c r="K119" i="1"/>
  <c r="K135" i="1"/>
  <c r="K151" i="1"/>
  <c r="K163" i="1"/>
  <c r="K179" i="1"/>
  <c r="K195" i="1"/>
  <c r="K211" i="1"/>
  <c r="K227" i="1"/>
  <c r="K243" i="1"/>
  <c r="K255" i="1"/>
  <c r="K271" i="1"/>
  <c r="K287" i="1"/>
  <c r="K313" i="1"/>
  <c r="K329" i="1"/>
  <c r="K16" i="1"/>
  <c r="K32" i="1"/>
  <c r="K48" i="1"/>
  <c r="K64" i="1"/>
  <c r="K79" i="1"/>
  <c r="K95" i="1"/>
  <c r="K111" i="1"/>
  <c r="K127" i="1"/>
  <c r="K143" i="1"/>
  <c r="K171" i="1"/>
  <c r="K187" i="1"/>
  <c r="K203" i="1"/>
  <c r="K219" i="1"/>
  <c r="K235" i="1"/>
  <c r="K263" i="1"/>
  <c r="K279" i="1"/>
  <c r="K295" i="1"/>
  <c r="K305" i="1"/>
  <c r="K321" i="1"/>
  <c r="K337" i="1"/>
  <c r="K9" i="1"/>
  <c r="K25" i="1"/>
  <c r="K41" i="1"/>
  <c r="K57" i="1"/>
  <c r="K72" i="1"/>
  <c r="K88" i="1"/>
  <c r="K104" i="1"/>
  <c r="K120" i="1"/>
  <c r="K136" i="1"/>
  <c r="K152" i="1"/>
  <c r="K164" i="1"/>
  <c r="K180" i="1"/>
  <c r="K196" i="1"/>
  <c r="K212" i="1"/>
  <c r="K228" i="1"/>
  <c r="K244" i="1"/>
  <c r="K256" i="1"/>
  <c r="K272" i="1"/>
  <c r="K288" i="1"/>
  <c r="K314" i="1"/>
  <c r="K330" i="1"/>
  <c r="K17" i="1"/>
  <c r="K33" i="1"/>
  <c r="K49" i="1"/>
  <c r="K80" i="1"/>
  <c r="K96" i="1"/>
  <c r="K112" i="1"/>
  <c r="K128" i="1"/>
  <c r="K144" i="1"/>
  <c r="K172" i="1"/>
  <c r="K188" i="1"/>
  <c r="K204" i="1"/>
  <c r="K220" i="1"/>
  <c r="K236" i="1"/>
  <c r="K264" i="1"/>
  <c r="K280" i="1"/>
  <c r="K296" i="1"/>
  <c r="K306" i="1"/>
  <c r="K322" i="1"/>
  <c r="K18" i="1"/>
  <c r="K34" i="1"/>
  <c r="K50" i="1"/>
  <c r="K65" i="1"/>
  <c r="K81" i="1"/>
  <c r="K97" i="1"/>
  <c r="K113" i="1"/>
  <c r="K129" i="1"/>
  <c r="K145" i="1"/>
  <c r="K157" i="1"/>
  <c r="K173" i="1"/>
  <c r="K189" i="1"/>
  <c r="K205" i="1"/>
  <c r="K221" i="1"/>
  <c r="K237" i="1"/>
  <c r="K249" i="1"/>
  <c r="K265" i="1"/>
  <c r="K281" i="1"/>
  <c r="K297" i="1"/>
  <c r="K307" i="1"/>
  <c r="K323" i="1"/>
  <c r="K10" i="1"/>
  <c r="K26" i="1"/>
  <c r="K42" i="1"/>
  <c r="K58" i="1"/>
  <c r="K73" i="1"/>
  <c r="K89" i="1"/>
  <c r="K105" i="1"/>
  <c r="K121" i="1"/>
  <c r="K137" i="1"/>
  <c r="K153" i="1"/>
  <c r="K165" i="1"/>
  <c r="K181" i="1"/>
  <c r="K197" i="1"/>
  <c r="K213" i="1"/>
  <c r="K229" i="1"/>
  <c r="K245" i="1"/>
  <c r="K257" i="1"/>
  <c r="K273" i="1"/>
  <c r="K289" i="1"/>
  <c r="K299" i="1"/>
  <c r="K315" i="1"/>
  <c r="K331" i="1"/>
  <c r="K3" i="1"/>
  <c r="K19" i="1"/>
  <c r="K35" i="1"/>
  <c r="K51" i="1"/>
  <c r="K66" i="1"/>
  <c r="K82" i="1"/>
  <c r="K98" i="1"/>
  <c r="K114" i="1"/>
  <c r="K130" i="1"/>
  <c r="K146" i="1"/>
  <c r="K158" i="1"/>
  <c r="K174" i="1"/>
  <c r="K190" i="1"/>
  <c r="K206" i="1"/>
  <c r="K222" i="1"/>
  <c r="K238" i="1"/>
  <c r="K250" i="1"/>
  <c r="K266" i="1"/>
  <c r="K282" i="1"/>
  <c r="K298" i="1"/>
  <c r="K308" i="1"/>
  <c r="K324" i="1"/>
  <c r="K11" i="1"/>
  <c r="K27" i="1"/>
  <c r="K43" i="1"/>
  <c r="K59" i="1"/>
  <c r="K74" i="1"/>
  <c r="K90" i="1"/>
  <c r="K106" i="1"/>
  <c r="K122" i="1"/>
  <c r="K138" i="1"/>
  <c r="K154" i="1"/>
  <c r="K166" i="1"/>
  <c r="K182" i="1"/>
  <c r="K198" i="1"/>
  <c r="K214" i="1"/>
  <c r="K230" i="1"/>
  <c r="K246" i="1"/>
  <c r="K258" i="1"/>
  <c r="K274" i="1"/>
  <c r="K290" i="1"/>
  <c r="K300" i="1"/>
  <c r="K316" i="1"/>
  <c r="K332" i="1"/>
  <c r="K4" i="1"/>
  <c r="K20" i="1"/>
  <c r="K36" i="1"/>
  <c r="K52" i="1"/>
  <c r="K67" i="1"/>
  <c r="K83" i="1"/>
  <c r="K99" i="1"/>
  <c r="K115" i="1"/>
  <c r="K131" i="1"/>
  <c r="K2" i="1"/>
</calcChain>
</file>

<file path=xl/sharedStrings.xml><?xml version="1.0" encoding="utf-8"?>
<sst xmlns="http://schemas.openxmlformats.org/spreadsheetml/2006/main" count="5046" uniqueCount="1051">
  <si>
    <t>Well</t>
  </si>
  <si>
    <t>Sample Name</t>
  </si>
  <si>
    <t>25446$900833-1</t>
  </si>
  <si>
    <t>FAM</t>
  </si>
  <si>
    <t>N</t>
  </si>
  <si>
    <t>VIC</t>
  </si>
  <si>
    <t>25446$900833-17</t>
  </si>
  <si>
    <t>25446$900833-33</t>
  </si>
  <si>
    <t>25446$900833-49</t>
  </si>
  <si>
    <t>25447$900771-1</t>
  </si>
  <si>
    <t>25447$900771-17</t>
  </si>
  <si>
    <t>25447$900771-33</t>
  </si>
  <si>
    <t>25447$900771-49</t>
  </si>
  <si>
    <t>25447$900771-65</t>
  </si>
  <si>
    <t>25447$900771-81</t>
  </si>
  <si>
    <t>25448$900674-1</t>
  </si>
  <si>
    <t>25448$900674-17</t>
  </si>
  <si>
    <t>25448$900674-33</t>
  </si>
  <si>
    <t>25448$900674-49</t>
  </si>
  <si>
    <t>25448$900674-65</t>
  </si>
  <si>
    <t>25448$900807-9</t>
  </si>
  <si>
    <t>25449$900868-1</t>
  </si>
  <si>
    <t>25449$900868-17</t>
  </si>
  <si>
    <t>25449$900868-33</t>
  </si>
  <si>
    <t>25449$900868-49</t>
  </si>
  <si>
    <t>25449$900777-9</t>
  </si>
  <si>
    <t>25449$900777-25</t>
  </si>
  <si>
    <t>25446$900833-9</t>
  </si>
  <si>
    <t>25446$900833-25</t>
  </si>
  <si>
    <t>25446$900833-41</t>
  </si>
  <si>
    <t>25446$900833-57</t>
  </si>
  <si>
    <t>25447$900771-9</t>
  </si>
  <si>
    <t>25447$900771-25</t>
  </si>
  <si>
    <t>25447$900771-41</t>
  </si>
  <si>
    <t>25447$900771-57</t>
  </si>
  <si>
    <t>25447$900771-73</t>
  </si>
  <si>
    <t>25447$900771-89</t>
  </si>
  <si>
    <t>25448$900674-9</t>
  </si>
  <si>
    <t>25448$900674-25</t>
  </si>
  <si>
    <t>25448$900674-41</t>
  </si>
  <si>
    <t>25448$900674-57</t>
  </si>
  <si>
    <t>25448$900807-1</t>
  </si>
  <si>
    <t>HOMO</t>
  </si>
  <si>
    <t>25449$900868-9</t>
  </si>
  <si>
    <t>25449$900868-25</t>
  </si>
  <si>
    <t>25449$900868-41</t>
  </si>
  <si>
    <t>25449$900777-1</t>
  </si>
  <si>
    <t>25449$900777-17</t>
  </si>
  <si>
    <t>25449$900777-33</t>
  </si>
  <si>
    <t>25446$900833-2</t>
  </si>
  <si>
    <t>25446$900833-18</t>
  </si>
  <si>
    <t>25446$900833-34</t>
  </si>
  <si>
    <t>25446$900833-50</t>
  </si>
  <si>
    <t>25447$900771-2</t>
  </si>
  <si>
    <t>25447$900771-18</t>
  </si>
  <si>
    <t>25447$900771-34</t>
  </si>
  <si>
    <t>25447$900771-50</t>
  </si>
  <si>
    <t>25447$900771-66</t>
  </si>
  <si>
    <t>25447$900771-82</t>
  </si>
  <si>
    <t>25448$900674-2</t>
  </si>
  <si>
    <t>25448$900674-18</t>
  </si>
  <si>
    <t>25448$900674-34</t>
  </si>
  <si>
    <t>25448$900674-50</t>
  </si>
  <si>
    <t>25448$900674-66</t>
  </si>
  <si>
    <t>25448$900807-10</t>
  </si>
  <si>
    <t>25449$900868-2</t>
  </si>
  <si>
    <t>25449$900868-18</t>
  </si>
  <si>
    <t>25449$900868-34</t>
  </si>
  <si>
    <t>25449$900868-50</t>
  </si>
  <si>
    <t>25449$900777-10</t>
  </si>
  <si>
    <t>25449$900777-26</t>
  </si>
  <si>
    <t>25446$900833-10</t>
  </si>
  <si>
    <t>25446$900833-26</t>
  </si>
  <si>
    <t>25446$900833-42</t>
  </si>
  <si>
    <t>25446$900833-58</t>
  </si>
  <si>
    <t>25447$900771-10</t>
  </si>
  <si>
    <t>25447$900771-26</t>
  </si>
  <si>
    <t>25447$900771-42</t>
  </si>
  <si>
    <t>25447$900771-58</t>
  </si>
  <si>
    <t>25447$900771-74</t>
  </si>
  <si>
    <t>25447$900771-90</t>
  </si>
  <si>
    <t>25448$900674-10</t>
  </si>
  <si>
    <t>25448$900674-26</t>
  </si>
  <si>
    <t>25448$900674-42</t>
  </si>
  <si>
    <t>25448$900674-58</t>
  </si>
  <si>
    <t>25448$900807-2</t>
  </si>
  <si>
    <t>HET</t>
  </si>
  <si>
    <t>25449$900868-10</t>
  </si>
  <si>
    <t>25449$900868-26</t>
  </si>
  <si>
    <t>25449$900868-42</t>
  </si>
  <si>
    <t>25449$900777-2</t>
  </si>
  <si>
    <t>25449$900777-18</t>
  </si>
  <si>
    <t>25449$900777-34</t>
  </si>
  <si>
    <t>25446$900833-3</t>
  </si>
  <si>
    <t>25446$900833-19</t>
  </si>
  <si>
    <t>25446$900833-35</t>
  </si>
  <si>
    <t>25446$900833-51</t>
  </si>
  <si>
    <t>25447$900771-3</t>
  </si>
  <si>
    <t>25447$900771-19</t>
  </si>
  <si>
    <t>25447$900771-35</t>
  </si>
  <si>
    <t>25447$900771-51</t>
  </si>
  <si>
    <t>25447$900771-67</t>
  </si>
  <si>
    <t>25447$900771-83</t>
  </si>
  <si>
    <t>25448$900674-3</t>
  </si>
  <si>
    <t>25448$900674-19</t>
  </si>
  <si>
    <t>25448$900674-35</t>
  </si>
  <si>
    <t>25448$900674-51</t>
  </si>
  <si>
    <t>25448$900674-67</t>
  </si>
  <si>
    <t>25448$900807-11</t>
  </si>
  <si>
    <t>25449$900868-3</t>
  </si>
  <si>
    <t>25449$900868-19</t>
  </si>
  <si>
    <t>25449$900868-35</t>
  </si>
  <si>
    <t>25449$900777-11</t>
  </si>
  <si>
    <t>25449$900777-27</t>
  </si>
  <si>
    <t>25446$900833-11</t>
  </si>
  <si>
    <t>25446$900833-27</t>
  </si>
  <si>
    <t>25446$900833-43</t>
  </si>
  <si>
    <t>25446$900833-59</t>
  </si>
  <si>
    <t>25447$900771-11</t>
  </si>
  <si>
    <t>25447$900771-27</t>
  </si>
  <si>
    <t>25447$900771-43</t>
  </si>
  <si>
    <t>25447$900771-59</t>
  </si>
  <si>
    <t>25447$900771-75</t>
  </si>
  <si>
    <t>25447$900771-91</t>
  </si>
  <si>
    <t>25448$900674-11</t>
  </si>
  <si>
    <t>25448$900674-27</t>
  </si>
  <si>
    <t>25448$900674-43</t>
  </si>
  <si>
    <t>25448$900674-59</t>
  </si>
  <si>
    <t>25448$900807-3</t>
  </si>
  <si>
    <t>WT</t>
  </si>
  <si>
    <t>25449$900868-11</t>
  </si>
  <si>
    <t>25449$900868-27</t>
  </si>
  <si>
    <t>25449$900868-43</t>
  </si>
  <si>
    <t>25449$900777-3</t>
  </si>
  <si>
    <t>25449$900777-19</t>
  </si>
  <si>
    <t>25449$900777-35</t>
  </si>
  <si>
    <t>25446$900833-4</t>
  </si>
  <si>
    <t>25446$900833-20</t>
  </si>
  <si>
    <t>25446$900833-36</t>
  </si>
  <si>
    <t>25446$900833-52</t>
  </si>
  <si>
    <t>25447$900771-4</t>
  </si>
  <si>
    <t>25447$900771-20</t>
  </si>
  <si>
    <t>25447$900771-36</t>
  </si>
  <si>
    <t>25447$900771-52</t>
  </si>
  <si>
    <t>25447$900771-68</t>
  </si>
  <si>
    <t>25447$900771-84</t>
  </si>
  <si>
    <t>25448$900674-4</t>
  </si>
  <si>
    <t>25448$900674-20</t>
  </si>
  <si>
    <t>25448$900674-36</t>
  </si>
  <si>
    <t>25448$900674-52</t>
  </si>
  <si>
    <t>25448$900460-1</t>
  </si>
  <si>
    <t>25448$900807-12</t>
  </si>
  <si>
    <t>25449$900868-4</t>
  </si>
  <si>
    <t>25449$900868-20</t>
  </si>
  <si>
    <t>25449$900868-36</t>
  </si>
  <si>
    <t>25449$900777-12</t>
  </si>
  <si>
    <t>25449$900777-28</t>
  </si>
  <si>
    <t>25446$900833-12</t>
  </si>
  <si>
    <t>25446$900833-28</t>
  </si>
  <si>
    <t>25446$900833-44</t>
  </si>
  <si>
    <t>25446$900833-60</t>
  </si>
  <si>
    <t>25447$900771-12</t>
  </si>
  <si>
    <t>25447$900771-28</t>
  </si>
  <si>
    <t>25447$900771-44</t>
  </si>
  <si>
    <t>25447$900771-60</t>
  </si>
  <si>
    <t>25447$900771-76</t>
  </si>
  <si>
    <t>25447$900771-92</t>
  </si>
  <si>
    <t>25448$900674-12</t>
  </si>
  <si>
    <t>25448$900674-28</t>
  </si>
  <si>
    <t>25448$900674-44</t>
  </si>
  <si>
    <t>25448$900674-60</t>
  </si>
  <si>
    <t>25448$900807-4</t>
  </si>
  <si>
    <t>NTC</t>
  </si>
  <si>
    <t>25449$900868-12</t>
  </si>
  <si>
    <t>25449$900868-28</t>
  </si>
  <si>
    <t>25449$900868-44</t>
  </si>
  <si>
    <t>25449$900777-4</t>
  </si>
  <si>
    <t>25449$900777-20</t>
  </si>
  <si>
    <t>25449$900777-36</t>
  </si>
  <si>
    <t>25446$900833-5</t>
  </si>
  <si>
    <t>25446$900833-21</t>
  </si>
  <si>
    <t>25446$900833-37</t>
  </si>
  <si>
    <t>25446$900833-53</t>
  </si>
  <si>
    <t>25447$900771-5</t>
  </si>
  <si>
    <t>25447$900771-21</t>
  </si>
  <si>
    <t>25447$900771-37</t>
  </si>
  <si>
    <t>25447$900771-53</t>
  </si>
  <si>
    <t>25447$900771-69</t>
  </si>
  <si>
    <t>25447$900771-85</t>
  </si>
  <si>
    <t>25448$900674-5</t>
  </si>
  <si>
    <t>25448$900674-21</t>
  </si>
  <si>
    <t>25448$900674-37</t>
  </si>
  <si>
    <t>25448$900674-53</t>
  </si>
  <si>
    <t>25448$900460-2</t>
  </si>
  <si>
    <t>25448$900807-13</t>
  </si>
  <si>
    <t>25449$900868-5</t>
  </si>
  <si>
    <t>25449$900868-21</t>
  </si>
  <si>
    <t>25449$900868-37</t>
  </si>
  <si>
    <t>25449$900777-13</t>
  </si>
  <si>
    <t>25449$900777-29</t>
  </si>
  <si>
    <t>25446$900833-13</t>
  </si>
  <si>
    <t>25446$900833-29</t>
  </si>
  <si>
    <t>25446$900833-45</t>
  </si>
  <si>
    <t>CAR</t>
  </si>
  <si>
    <t>25447$900771-13</t>
  </si>
  <si>
    <t>25447$900771-29</t>
  </si>
  <si>
    <t>25447$900771-45</t>
  </si>
  <si>
    <t>25447$900771-61</t>
  </si>
  <si>
    <t>25447$900771-77</t>
  </si>
  <si>
    <t>25448$900674-13</t>
  </si>
  <si>
    <t>25448$900674-29</t>
  </si>
  <si>
    <t>25448$900674-45</t>
  </si>
  <si>
    <t>25448$900674-61</t>
  </si>
  <si>
    <t>25448$900807-5</t>
  </si>
  <si>
    <t>25449$900868-13</t>
  </si>
  <si>
    <t>25449$900868-29</t>
  </si>
  <si>
    <t>25449$900868-45</t>
  </si>
  <si>
    <t>25449$900777-5</t>
  </si>
  <si>
    <t>25449$900777-21</t>
  </si>
  <si>
    <t>25449$900777-37</t>
  </si>
  <si>
    <t>25446$900833-6</t>
  </si>
  <si>
    <t>25446$900833-22</t>
  </si>
  <si>
    <t>25446$900833-38</t>
  </si>
  <si>
    <t>25446$900833-54</t>
  </si>
  <si>
    <t>25447$900771-6</t>
  </si>
  <si>
    <t>25447$900771-22</t>
  </si>
  <si>
    <t>25447$900771-38</t>
  </si>
  <si>
    <t>25447$900771-54</t>
  </si>
  <si>
    <t>25447$900771-70</t>
  </si>
  <si>
    <t>25447$900771-86</t>
  </si>
  <si>
    <t>25448$900674-6</t>
  </si>
  <si>
    <t>25448$900674-22</t>
  </si>
  <si>
    <t>25448$900674-38</t>
  </si>
  <si>
    <t>25448$900674-54</t>
  </si>
  <si>
    <t>25448$900460-3</t>
  </si>
  <si>
    <t>25448$900807-14</t>
  </si>
  <si>
    <t>25449$900868-6</t>
  </si>
  <si>
    <t>25449$900868-22</t>
  </si>
  <si>
    <t>25449$900868-38</t>
  </si>
  <si>
    <t>25449$900777-14</t>
  </si>
  <si>
    <t>25449$900777-30</t>
  </si>
  <si>
    <t>25446$900833-14</t>
  </si>
  <si>
    <t>25446$900833-30</t>
  </si>
  <si>
    <t>25446$900833-46</t>
  </si>
  <si>
    <t>25447$900771-14</t>
  </si>
  <si>
    <t>25447$900771-30</t>
  </si>
  <si>
    <t>25447$900771-46</t>
  </si>
  <si>
    <t>25447$900771-62</t>
  </si>
  <si>
    <t>25447$900771-78</t>
  </si>
  <si>
    <t>25448$900674-14</t>
  </si>
  <si>
    <t>25448$900674-30</t>
  </si>
  <si>
    <t>25448$900674-46</t>
  </si>
  <si>
    <t>25448$900674-62</t>
  </si>
  <si>
    <t>25448$900807-6</t>
  </si>
  <si>
    <t>25449$900868-14</t>
  </si>
  <si>
    <t>25449$900868-30</t>
  </si>
  <si>
    <t>25449$900868-46</t>
  </si>
  <si>
    <t>25449$900777-6</t>
  </si>
  <si>
    <t>25449$900777-22</t>
  </si>
  <si>
    <t>25449$900777-38</t>
  </si>
  <si>
    <t>25446$900833-7</t>
  </si>
  <si>
    <t>25446$900833-23</t>
  </si>
  <si>
    <t>25446$900833-39</t>
  </si>
  <si>
    <t>25446$900833-55</t>
  </si>
  <si>
    <t>25447$900771-7</t>
  </si>
  <si>
    <t>25447$900771-23</t>
  </si>
  <si>
    <t>25447$900771-39</t>
  </si>
  <si>
    <t>25447$900771-55</t>
  </si>
  <si>
    <t>25447$900771-71</t>
  </si>
  <si>
    <t>25447$900771-87</t>
  </si>
  <si>
    <t>25448$900674-7</t>
  </si>
  <si>
    <t>25448$900674-23</t>
  </si>
  <si>
    <t>25448$900674-39</t>
  </si>
  <si>
    <t>25448$900674-55</t>
  </si>
  <si>
    <t>25448$900807-15</t>
  </si>
  <si>
    <t>25449$900868-7</t>
  </si>
  <si>
    <t>25449$900868-23</t>
  </si>
  <si>
    <t>25449$900868-39</t>
  </si>
  <si>
    <t>25449$900777-15</t>
  </si>
  <si>
    <t>25449$900777-31</t>
  </si>
  <si>
    <t>25446$900833-15</t>
  </si>
  <si>
    <t>25446$900833-31</t>
  </si>
  <si>
    <t>25446$900833-47</t>
  </si>
  <si>
    <t>25447$900771-15</t>
  </si>
  <si>
    <t>25447$900771-31</t>
  </si>
  <si>
    <t>25447$900771-47</t>
  </si>
  <si>
    <t>25447$900771-63</t>
  </si>
  <si>
    <t>25447$900771-79</t>
  </si>
  <si>
    <t>25448$900674-15</t>
  </si>
  <si>
    <t>25448$900674-31</t>
  </si>
  <si>
    <t>25448$900674-47</t>
  </si>
  <si>
    <t>25448$900674-63</t>
  </si>
  <si>
    <t>25448$900807-7</t>
  </si>
  <si>
    <t>25449$900868-15</t>
  </si>
  <si>
    <t>25449$900868-31</t>
  </si>
  <si>
    <t>25449$900868-47</t>
  </si>
  <si>
    <t>25449$900777-7</t>
  </si>
  <si>
    <t>25449$900777-23</t>
  </si>
  <si>
    <t>25449$900777-39</t>
  </si>
  <si>
    <t>25446$900833-8</t>
  </si>
  <si>
    <t>25446$900833-24</t>
  </si>
  <si>
    <t>25446$900833-40</t>
  </si>
  <si>
    <t>25446$900833-56</t>
  </si>
  <si>
    <t>25447$900771-8</t>
  </si>
  <si>
    <t>25447$900771-24</t>
  </si>
  <si>
    <t>25447$900771-40</t>
  </si>
  <si>
    <t>25447$900771-56</t>
  </si>
  <si>
    <t>25447$900771-72</t>
  </si>
  <si>
    <t>25447$900771-88</t>
  </si>
  <si>
    <t>25448$900674-8</t>
  </si>
  <si>
    <t>25448$900674-24</t>
  </si>
  <si>
    <t>25448$900674-40</t>
  </si>
  <si>
    <t>25448$900674-56</t>
  </si>
  <si>
    <t>25448$900807-16</t>
  </si>
  <si>
    <t>25449$900868-8</t>
  </si>
  <si>
    <t>25449$900868-24</t>
  </si>
  <si>
    <t>25449$900868-40</t>
  </si>
  <si>
    <t>25449$900777-16</t>
  </si>
  <si>
    <t>25449$900777-32</t>
  </si>
  <si>
    <t>25446$900833-16</t>
  </si>
  <si>
    <t>25446$900833-32</t>
  </si>
  <si>
    <t>25446$900833-48</t>
  </si>
  <si>
    <t>25447$900771-16</t>
  </si>
  <si>
    <t>25447$900771-32</t>
  </si>
  <si>
    <t>25447$900771-48</t>
  </si>
  <si>
    <t>25447$900771-64</t>
  </si>
  <si>
    <t>25447$900771-80</t>
  </si>
  <si>
    <t>25448$900674-16</t>
  </si>
  <si>
    <t>25448$900674-32</t>
  </si>
  <si>
    <t>25448$900674-48</t>
  </si>
  <si>
    <t>25448$900674-64</t>
  </si>
  <si>
    <t>25448$900807-8</t>
  </si>
  <si>
    <t>25449$900868-16</t>
  </si>
  <si>
    <t>25449$900868-32</t>
  </si>
  <si>
    <t>25449$900868-48</t>
  </si>
  <si>
    <t>25449$900777-8</t>
  </si>
  <si>
    <t>25449$900777-24</t>
  </si>
  <si>
    <t>FAM-Ct0</t>
  </si>
  <si>
    <t>NED-Ct0</t>
  </si>
  <si>
    <t>VIC-GT</t>
  </si>
  <si>
    <t>Letter</t>
  </si>
  <si>
    <t>Number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</si>
  <si>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</si>
  <si>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</si>
  <si>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</si>
  <si>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</si>
  <si>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</si>
  <si>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</si>
  <si>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</si>
  <si>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</si>
  <si>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</si>
  <si>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</si>
  <si>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</si>
  <si>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</si>
  <si>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</si>
  <si>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</si>
  <si>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POSITION</t>
  </si>
  <si>
    <t>L</t>
  </si>
  <si>
    <t>PLATE1</t>
  </si>
  <si>
    <t>PLATE2</t>
  </si>
  <si>
    <t>PLATE3</t>
  </si>
  <si>
    <t>PLATE4</t>
  </si>
  <si>
    <t xml:space="preserve">PLATE </t>
  </si>
  <si>
    <t>INDEX</t>
  </si>
  <si>
    <t>old index</t>
  </si>
  <si>
    <t>GT</t>
  </si>
  <si>
    <t>RT</t>
  </si>
  <si>
    <t>stype</t>
  </si>
  <si>
    <t>fxn-CAG</t>
  </si>
  <si>
    <t>r62-CAG</t>
  </si>
  <si>
    <t>q140neo-CAG</t>
  </si>
  <si>
    <t>900833-2</t>
  </si>
  <si>
    <t>900833-3</t>
  </si>
  <si>
    <t>900833-4</t>
  </si>
  <si>
    <t>900833-5</t>
  </si>
  <si>
    <t>900833-7</t>
  </si>
  <si>
    <t>900833-11</t>
  </si>
  <si>
    <t>900833-12</t>
  </si>
  <si>
    <t>900833-14</t>
  </si>
  <si>
    <t>900833-15</t>
  </si>
  <si>
    <t>900833-17</t>
  </si>
  <si>
    <t>900833-19</t>
  </si>
  <si>
    <t>900833-21</t>
  </si>
  <si>
    <t>900833-24</t>
  </si>
  <si>
    <t>900833-26</t>
  </si>
  <si>
    <t>900833-27</t>
  </si>
  <si>
    <t>900833-29</t>
  </si>
  <si>
    <t>900833-30</t>
  </si>
  <si>
    <t>900833-32</t>
  </si>
  <si>
    <t>900833-35</t>
  </si>
  <si>
    <t>900833-36</t>
  </si>
  <si>
    <t>900833-37</t>
  </si>
  <si>
    <t>900833-39</t>
  </si>
  <si>
    <t>900833-40</t>
  </si>
  <si>
    <t>900833-41</t>
  </si>
  <si>
    <t>900833-42</t>
  </si>
  <si>
    <t>900833-43</t>
  </si>
  <si>
    <t>900833-44</t>
  </si>
  <si>
    <t>900833-45</t>
  </si>
  <si>
    <t>900833-47</t>
  </si>
  <si>
    <t>900833-49</t>
  </si>
  <si>
    <t>900833-50</t>
  </si>
  <si>
    <t>900833-51</t>
  </si>
  <si>
    <t>900833-53</t>
  </si>
  <si>
    <t>900833-56</t>
  </si>
  <si>
    <t>900833-59</t>
  </si>
  <si>
    <t>900833-60</t>
  </si>
  <si>
    <t>900833-13</t>
  </si>
  <si>
    <t>900833-18</t>
  </si>
  <si>
    <t>900833-31</t>
  </si>
  <si>
    <t>900833-33</t>
  </si>
  <si>
    <t>900833-38</t>
  </si>
  <si>
    <t>900833-48</t>
  </si>
  <si>
    <t>900833-52</t>
  </si>
  <si>
    <t>900833-1</t>
  </si>
  <si>
    <t>900833-6</t>
  </si>
  <si>
    <t>900833-8</t>
  </si>
  <si>
    <t>900833-9</t>
  </si>
  <si>
    <t>900833-10</t>
  </si>
  <si>
    <t>900833-16</t>
  </si>
  <si>
    <t>900833-20</t>
  </si>
  <si>
    <t>900833-22</t>
  </si>
  <si>
    <t>900833-23</t>
  </si>
  <si>
    <t>900833-25</t>
  </si>
  <si>
    <t>900833-28</t>
  </si>
  <si>
    <t>900833-34</t>
  </si>
  <si>
    <t>900833-46</t>
  </si>
  <si>
    <t>900833-54</t>
  </si>
  <si>
    <t>900833-55</t>
  </si>
  <si>
    <t>900833-57</t>
  </si>
  <si>
    <t>900833-58</t>
  </si>
  <si>
    <t>900807-2</t>
  </si>
  <si>
    <t>900807-5</t>
  </si>
  <si>
    <t>900807-7</t>
  </si>
  <si>
    <t>900807-11</t>
  </si>
  <si>
    <t>900807-12</t>
  </si>
  <si>
    <t>900807-16</t>
  </si>
  <si>
    <t>900807-3</t>
  </si>
  <si>
    <t>900807-4</t>
  </si>
  <si>
    <t>900807-6</t>
  </si>
  <si>
    <t>900807-13</t>
  </si>
  <si>
    <t>900807-14</t>
  </si>
  <si>
    <t>900807-1</t>
  </si>
  <si>
    <t>900807-8</t>
  </si>
  <si>
    <t>900807-9</t>
  </si>
  <si>
    <t>900807-10</t>
  </si>
  <si>
    <t>900807-15</t>
  </si>
  <si>
    <t>900771-4</t>
  </si>
  <si>
    <t>900771-5</t>
  </si>
  <si>
    <t>900771-9</t>
  </si>
  <si>
    <t>900771-10</t>
  </si>
  <si>
    <t>900771-11</t>
  </si>
  <si>
    <t>900771-13</t>
  </si>
  <si>
    <t>900771-17</t>
  </si>
  <si>
    <t>900771-19</t>
  </si>
  <si>
    <t>900771-20</t>
  </si>
  <si>
    <t>900771-21</t>
  </si>
  <si>
    <t>900771-22</t>
  </si>
  <si>
    <t>900771-26</t>
  </si>
  <si>
    <t>900771-27</t>
  </si>
  <si>
    <t>900771-30</t>
  </si>
  <si>
    <t>900771-31</t>
  </si>
  <si>
    <t>900771-33</t>
  </si>
  <si>
    <t>900771-42</t>
  </si>
  <si>
    <t>900771-44</t>
  </si>
  <si>
    <t>900771-45</t>
  </si>
  <si>
    <t>900771-46</t>
  </si>
  <si>
    <t>900771-50</t>
  </si>
  <si>
    <t>900771-51</t>
  </si>
  <si>
    <t>900771-53</t>
  </si>
  <si>
    <t>900771-57</t>
  </si>
  <si>
    <t>900771-58</t>
  </si>
  <si>
    <t>900771-59</t>
  </si>
  <si>
    <t>900771-60</t>
  </si>
  <si>
    <t>900771-61</t>
  </si>
  <si>
    <t>900771-62</t>
  </si>
  <si>
    <t>900771-63</t>
  </si>
  <si>
    <t>900771-64</t>
  </si>
  <si>
    <t>900771-65</t>
  </si>
  <si>
    <t>900771-69</t>
  </si>
  <si>
    <t>900771-70</t>
  </si>
  <si>
    <t>900771-73</t>
  </si>
  <si>
    <t>900771-74</t>
  </si>
  <si>
    <t>900771-75</t>
  </si>
  <si>
    <t>900771-78</t>
  </si>
  <si>
    <t>900771-80</t>
  </si>
  <si>
    <t>900771-81</t>
  </si>
  <si>
    <t>900771-82</t>
  </si>
  <si>
    <t>900771-86</t>
  </si>
  <si>
    <t>900771-88</t>
  </si>
  <si>
    <t>900771-90</t>
  </si>
  <si>
    <t>900771-92</t>
  </si>
  <si>
    <t>900674-2</t>
  </si>
  <si>
    <t>900674-3</t>
  </si>
  <si>
    <t>900674-4</t>
  </si>
  <si>
    <t>900674-5</t>
  </si>
  <si>
    <t>900674-7</t>
  </si>
  <si>
    <t>900674-8</t>
  </si>
  <si>
    <t>900674-10</t>
  </si>
  <si>
    <t>900674-12</t>
  </si>
  <si>
    <t>900674-15</t>
  </si>
  <si>
    <t>900674-16</t>
  </si>
  <si>
    <t>900674-19</t>
  </si>
  <si>
    <t>900674-20</t>
  </si>
  <si>
    <t>900674-22</t>
  </si>
  <si>
    <t>900674-27</t>
  </si>
  <si>
    <t>900674-28</t>
  </si>
  <si>
    <t>900674-29</t>
  </si>
  <si>
    <t>900674-30</t>
  </si>
  <si>
    <t>900674-32</t>
  </si>
  <si>
    <t>900674-36</t>
  </si>
  <si>
    <t>900674-39</t>
  </si>
  <si>
    <t>900674-42</t>
  </si>
  <si>
    <t>900674-49</t>
  </si>
  <si>
    <t>900674-53</t>
  </si>
  <si>
    <t>900674-54</t>
  </si>
  <si>
    <t>900674-55</t>
  </si>
  <si>
    <t>900674-56</t>
  </si>
  <si>
    <t>900674-57</t>
  </si>
  <si>
    <t>900674-58</t>
  </si>
  <si>
    <t>900674-60</t>
  </si>
  <si>
    <t>900674-65</t>
  </si>
  <si>
    <t>900674-66</t>
  </si>
  <si>
    <t>900674-67</t>
  </si>
  <si>
    <t>900460-1</t>
  </si>
  <si>
    <t>900460-2</t>
  </si>
  <si>
    <t>900460-3</t>
  </si>
  <si>
    <t>900868-2</t>
  </si>
  <si>
    <t>900868-3</t>
  </si>
  <si>
    <t>900868-5</t>
  </si>
  <si>
    <t>900868-8</t>
  </si>
  <si>
    <t>900868-10</t>
  </si>
  <si>
    <t>900868-15</t>
  </si>
  <si>
    <t>900868-16</t>
  </si>
  <si>
    <t>900868-17</t>
  </si>
  <si>
    <t>900868-19</t>
  </si>
  <si>
    <t>900868-20</t>
  </si>
  <si>
    <t>900868-22</t>
  </si>
  <si>
    <t>900868-23</t>
  </si>
  <si>
    <t>900868-24</t>
  </si>
  <si>
    <t>900868-25</t>
  </si>
  <si>
    <t>900868-26</t>
  </si>
  <si>
    <t>900868-28</t>
  </si>
  <si>
    <t>900868-29</t>
  </si>
  <si>
    <t>900868-33</t>
  </si>
  <si>
    <t>900868-34</t>
  </si>
  <si>
    <t>900868-35</t>
  </si>
  <si>
    <t>900868-37</t>
  </si>
  <si>
    <t>900868-38</t>
  </si>
  <si>
    <t>900868-39</t>
  </si>
  <si>
    <t>900868-43</t>
  </si>
  <si>
    <t>900868-46</t>
  </si>
  <si>
    <t>900868-47</t>
  </si>
  <si>
    <t>900868-48</t>
  </si>
  <si>
    <t>900868-49</t>
  </si>
  <si>
    <t>900868-50</t>
  </si>
  <si>
    <t>900777-1</t>
  </si>
  <si>
    <t>900777-2</t>
  </si>
  <si>
    <t>900777-3</t>
  </si>
  <si>
    <t>900777-4</t>
  </si>
  <si>
    <t>900777-7</t>
  </si>
  <si>
    <t>900777-8</t>
  </si>
  <si>
    <t>900777-9</t>
  </si>
  <si>
    <t>900777-11</t>
  </si>
  <si>
    <t>900777-12</t>
  </si>
  <si>
    <t>900777-13</t>
  </si>
  <si>
    <t>900777-14</t>
  </si>
  <si>
    <t>900777-18</t>
  </si>
  <si>
    <t>900777-19</t>
  </si>
  <si>
    <t>900777-20</t>
  </si>
  <si>
    <t>900777-22</t>
  </si>
  <si>
    <t>900777-25</t>
  </si>
  <si>
    <t>900777-28</t>
  </si>
  <si>
    <t>900777-29</t>
  </si>
  <si>
    <t>900777-30</t>
  </si>
  <si>
    <t>900777-35</t>
  </si>
  <si>
    <t>900777-36</t>
  </si>
  <si>
    <t>900777-38</t>
  </si>
  <si>
    <t>900777-39</t>
  </si>
  <si>
    <t>900771-8</t>
  </si>
  <si>
    <t>900771-54</t>
  </si>
  <si>
    <t>900771-55</t>
  </si>
  <si>
    <t>900771-56</t>
  </si>
  <si>
    <t>900771-91</t>
  </si>
  <si>
    <t>900771-3</t>
  </si>
  <si>
    <t>900771-6</t>
  </si>
  <si>
    <t>900771-12</t>
  </si>
  <si>
    <t>900771-15</t>
  </si>
  <si>
    <t>900771-18</t>
  </si>
  <si>
    <t>900771-23</t>
  </si>
  <si>
    <t>900771-24</t>
  </si>
  <si>
    <t>900771-32</t>
  </si>
  <si>
    <t>900771-34</t>
  </si>
  <si>
    <t>900771-36</t>
  </si>
  <si>
    <t>900771-41</t>
  </si>
  <si>
    <t>900771-43</t>
  </si>
  <si>
    <t>900771-47</t>
  </si>
  <si>
    <t>900771-49</t>
  </si>
  <si>
    <t>900771-52</t>
  </si>
  <si>
    <t>900771-66</t>
  </si>
  <si>
    <t>900771-76</t>
  </si>
  <si>
    <t>900771-77</t>
  </si>
  <si>
    <t>900771-79</t>
  </si>
  <si>
    <t>900771-83</t>
  </si>
  <si>
    <t>900771-84</t>
  </si>
  <si>
    <t>900674-6</t>
  </si>
  <si>
    <t>900674-9</t>
  </si>
  <si>
    <t>900674-11</t>
  </si>
  <si>
    <t>900674-13</t>
  </si>
  <si>
    <t>900674-14</t>
  </si>
  <si>
    <t>900674-18</t>
  </si>
  <si>
    <t>900674-21</t>
  </si>
  <si>
    <t>900674-31</t>
  </si>
  <si>
    <t>900674-34</t>
  </si>
  <si>
    <t>900674-37</t>
  </si>
  <si>
    <t>900674-38</t>
  </si>
  <si>
    <t>900674-43</t>
  </si>
  <si>
    <t>900674-44</t>
  </si>
  <si>
    <t>900674-50</t>
  </si>
  <si>
    <t>900674-51</t>
  </si>
  <si>
    <t>900674-52</t>
  </si>
  <si>
    <t>900674-59</t>
  </si>
  <si>
    <t>900868-9</t>
  </si>
  <si>
    <t>900868-27</t>
  </si>
  <si>
    <t>900868-30</t>
  </si>
  <si>
    <t>900868-36</t>
  </si>
  <si>
    <t>900868-44</t>
  </si>
  <si>
    <t>900777-5</t>
  </si>
  <si>
    <t>900777-6</t>
  </si>
  <si>
    <t>900777-21</t>
  </si>
  <si>
    <t>900777-27</t>
  </si>
  <si>
    <t>900777-34</t>
  </si>
  <si>
    <t>900771-71</t>
  </si>
  <si>
    <t>900771-2</t>
  </si>
  <si>
    <t>900771-7</t>
  </si>
  <si>
    <t>900771-14</t>
  </si>
  <si>
    <t>900771-16</t>
  </si>
  <si>
    <t>900771-25</t>
  </si>
  <si>
    <t>900771-28</t>
  </si>
  <si>
    <t>900771-29</t>
  </si>
  <si>
    <t>900771-35</t>
  </si>
  <si>
    <t>900771-37</t>
  </si>
  <si>
    <t>900771-39</t>
  </si>
  <si>
    <t>900771-40</t>
  </si>
  <si>
    <t>900771-48</t>
  </si>
  <si>
    <t>900771-67</t>
  </si>
  <si>
    <t>900771-68</t>
  </si>
  <si>
    <t>900771-85</t>
  </si>
  <si>
    <t>900771-87</t>
  </si>
  <si>
    <t>900771-89</t>
  </si>
  <si>
    <t>900674-1</t>
  </si>
  <si>
    <t>900674-17</t>
  </si>
  <si>
    <t>900674-23</t>
  </si>
  <si>
    <t>900674-24</t>
  </si>
  <si>
    <t>900674-25</t>
  </si>
  <si>
    <t>900674-26</t>
  </si>
  <si>
    <t>900674-33</t>
  </si>
  <si>
    <t>900674-35</t>
  </si>
  <si>
    <t>900674-40</t>
  </si>
  <si>
    <t>900674-41</t>
  </si>
  <si>
    <t>900674-45</t>
  </si>
  <si>
    <t>900674-46</t>
  </si>
  <si>
    <t>900674-47</t>
  </si>
  <si>
    <t>900674-48</t>
  </si>
  <si>
    <t>900674-61</t>
  </si>
  <si>
    <t>900674-62</t>
  </si>
  <si>
    <t>900674-63</t>
  </si>
  <si>
    <t>900674-64</t>
  </si>
  <si>
    <t>900868-1</t>
  </si>
  <si>
    <t>900868-4</t>
  </si>
  <si>
    <t>900868-6</t>
  </si>
  <si>
    <t>900868-7</t>
  </si>
  <si>
    <t>900868-11</t>
  </si>
  <si>
    <t>900868-12</t>
  </si>
  <si>
    <t>900868-13</t>
  </si>
  <si>
    <t>900868-14</t>
  </si>
  <si>
    <t>900868-18</t>
  </si>
  <si>
    <t>900868-21</t>
  </si>
  <si>
    <t>900868-31</t>
  </si>
  <si>
    <t>900868-32</t>
  </si>
  <si>
    <t>900868-40</t>
  </si>
  <si>
    <t>900868-41</t>
  </si>
  <si>
    <t>900868-42</t>
  </si>
  <si>
    <t>900868-45</t>
  </si>
  <si>
    <t>900777-10</t>
  </si>
  <si>
    <t>900777-15</t>
  </si>
  <si>
    <t>900777-16</t>
  </si>
  <si>
    <t>900777-17</t>
  </si>
  <si>
    <t>900777-23</t>
  </si>
  <si>
    <t>900777-24</t>
  </si>
  <si>
    <t>900777-26</t>
  </si>
  <si>
    <t>900777-31</t>
  </si>
  <si>
    <t>900777-32</t>
  </si>
  <si>
    <t>900777-33</t>
  </si>
  <si>
    <t>900777-37</t>
  </si>
  <si>
    <t>900771-1</t>
  </si>
  <si>
    <t>900771-38</t>
  </si>
  <si>
    <t>900771-72</t>
  </si>
  <si>
    <t>C1</t>
  </si>
  <si>
    <t>E1</t>
  </si>
  <si>
    <t>G1</t>
  </si>
  <si>
    <t>I1</t>
  </si>
  <si>
    <t>M1</t>
  </si>
  <si>
    <t>F1</t>
  </si>
  <si>
    <t>H1</t>
  </si>
  <si>
    <t>L1</t>
  </si>
  <si>
    <t>N1</t>
  </si>
  <si>
    <t>A2</t>
  </si>
  <si>
    <t>E2</t>
  </si>
  <si>
    <t>I2</t>
  </si>
  <si>
    <t>O2</t>
  </si>
  <si>
    <t>D2</t>
  </si>
  <si>
    <t>F2</t>
  </si>
  <si>
    <t>J2</t>
  </si>
  <si>
    <t>L2</t>
  </si>
  <si>
    <t>P2</t>
  </si>
  <si>
    <t>E3</t>
  </si>
  <si>
    <t>G3</t>
  </si>
  <si>
    <t>I3</t>
  </si>
  <si>
    <t>M3</t>
  </si>
  <si>
    <t>O3</t>
  </si>
  <si>
    <t>B3</t>
  </si>
  <si>
    <t>D3</t>
  </si>
  <si>
    <t>F3</t>
  </si>
  <si>
    <t>H3</t>
  </si>
  <si>
    <t>J3</t>
  </si>
  <si>
    <t>N3</t>
  </si>
  <si>
    <t>A4</t>
  </si>
  <si>
    <t>C4</t>
  </si>
  <si>
    <t>E4</t>
  </si>
  <si>
    <t>I4</t>
  </si>
  <si>
    <t>O4</t>
  </si>
  <si>
    <t>F4</t>
  </si>
  <si>
    <t>H4</t>
  </si>
  <si>
    <t>J1</t>
  </si>
  <si>
    <t>C2</t>
  </si>
  <si>
    <t>N2</t>
  </si>
  <si>
    <t>A3</t>
  </si>
  <si>
    <t>K3</t>
  </si>
  <si>
    <t>P3</t>
  </si>
  <si>
    <t>G4</t>
  </si>
  <si>
    <t>A1</t>
  </si>
  <si>
    <t>K1</t>
  </si>
  <si>
    <t>O1</t>
  </si>
  <si>
    <t>B1</t>
  </si>
  <si>
    <t>D1</t>
  </si>
  <si>
    <t>P1</t>
  </si>
  <si>
    <t>G2</t>
  </si>
  <si>
    <t>K2</t>
  </si>
  <si>
    <t>M2</t>
  </si>
  <si>
    <t>B2</t>
  </si>
  <si>
    <t>H2</t>
  </si>
  <si>
    <t>C3</t>
  </si>
  <si>
    <t>L3</t>
  </si>
  <si>
    <t>K4</t>
  </si>
  <si>
    <t>M4</t>
  </si>
  <si>
    <t>B4</t>
  </si>
  <si>
    <t>D4</t>
  </si>
  <si>
    <t>L4</t>
  </si>
  <si>
    <t>J4</t>
  </si>
  <si>
    <t>N4</t>
  </si>
  <si>
    <t>D17</t>
  </si>
  <si>
    <t>J17</t>
  </si>
  <si>
    <t>N17</t>
  </si>
  <si>
    <t>E18</t>
  </si>
  <si>
    <t>G18</t>
  </si>
  <si>
    <t>O18</t>
  </si>
  <si>
    <t>D18</t>
  </si>
  <si>
    <t>F17</t>
  </si>
  <si>
    <t>H17</t>
  </si>
  <si>
    <t>L17</t>
  </si>
  <si>
    <t>I18</t>
  </si>
  <si>
    <t>K18</t>
  </si>
  <si>
    <t>B17</t>
  </si>
  <si>
    <t>P17</t>
  </si>
  <si>
    <t>A18</t>
  </si>
  <si>
    <t>C18</t>
  </si>
  <si>
    <t>M18</t>
  </si>
  <si>
    <t>F18</t>
  </si>
  <si>
    <t>B18</t>
  </si>
  <si>
    <t>H18</t>
  </si>
  <si>
    <t>G7</t>
  </si>
  <si>
    <t>I7</t>
  </si>
  <si>
    <t>B7</t>
  </si>
  <si>
    <t>D7</t>
  </si>
  <si>
    <t>F7</t>
  </si>
  <si>
    <t>J7</t>
  </si>
  <si>
    <t>A8</t>
  </si>
  <si>
    <t>E8</t>
  </si>
  <si>
    <t>G8</t>
  </si>
  <si>
    <t>I8</t>
  </si>
  <si>
    <t>K8</t>
  </si>
  <si>
    <t>D8</t>
  </si>
  <si>
    <t>F8</t>
  </si>
  <si>
    <t>L8</t>
  </si>
  <si>
    <t>N8</t>
  </si>
  <si>
    <t>A9</t>
  </si>
  <si>
    <t>D9</t>
  </si>
  <si>
    <t>H9</t>
  </si>
  <si>
    <t>J9</t>
  </si>
  <si>
    <t>L9</t>
  </si>
  <si>
    <t>C10</t>
  </si>
  <si>
    <t>E10</t>
  </si>
  <si>
    <t>I10</t>
  </si>
  <si>
    <t>B10</t>
  </si>
  <si>
    <t>D10</t>
  </si>
  <si>
    <t>F10</t>
  </si>
  <si>
    <t>H10</t>
  </si>
  <si>
    <t>J10</t>
  </si>
  <si>
    <t>L10</t>
  </si>
  <si>
    <t>N10</t>
  </si>
  <si>
    <t>P10</t>
  </si>
  <si>
    <t>A11</t>
  </si>
  <si>
    <t>I11</t>
  </si>
  <si>
    <t>K11</t>
  </si>
  <si>
    <t>B11</t>
  </si>
  <si>
    <t>D11</t>
  </si>
  <si>
    <t>F11</t>
  </si>
  <si>
    <t>L11</t>
  </si>
  <si>
    <t>P11</t>
  </si>
  <si>
    <t>A12</t>
  </si>
  <si>
    <t>C12</t>
  </si>
  <si>
    <t>K12</t>
  </si>
  <si>
    <t>O12</t>
  </si>
  <si>
    <t>D12</t>
  </si>
  <si>
    <t>H12</t>
  </si>
  <si>
    <t>C13</t>
  </si>
  <si>
    <t>E13</t>
  </si>
  <si>
    <t>G13</t>
  </si>
  <si>
    <t>I13</t>
  </si>
  <si>
    <t>M13</t>
  </si>
  <si>
    <t>O13</t>
  </si>
  <si>
    <t>D13</t>
  </si>
  <si>
    <t>H13</t>
  </si>
  <si>
    <t>N13</t>
  </si>
  <si>
    <t>P13</t>
  </si>
  <si>
    <t>E14</t>
  </si>
  <si>
    <t>G14</t>
  </si>
  <si>
    <t>K14</t>
  </si>
  <si>
    <t>F14</t>
  </si>
  <si>
    <t>H14</t>
  </si>
  <si>
    <t>J14</t>
  </si>
  <si>
    <t>L14</t>
  </si>
  <si>
    <t>P14</t>
  </si>
  <si>
    <t>G15</t>
  </si>
  <si>
    <t>M15</t>
  </si>
  <si>
    <t>D15</t>
  </si>
  <si>
    <t>A16</t>
  </si>
  <si>
    <t>I16</t>
  </si>
  <si>
    <t>K16</t>
  </si>
  <si>
    <t>M16</t>
  </si>
  <si>
    <t>O16</t>
  </si>
  <si>
    <t>B16</t>
  </si>
  <si>
    <t>D16</t>
  </si>
  <si>
    <t>H16</t>
  </si>
  <si>
    <t>A17</t>
  </si>
  <si>
    <t>C17</t>
  </si>
  <si>
    <t>E17</t>
  </si>
  <si>
    <t>G17</t>
  </si>
  <si>
    <t>I17</t>
  </si>
  <si>
    <t>K17</t>
  </si>
  <si>
    <t>M17</t>
  </si>
  <si>
    <t>C19</t>
  </si>
  <si>
    <t>E19</t>
  </si>
  <si>
    <t>I19</t>
  </si>
  <si>
    <t>O19</t>
  </si>
  <si>
    <t>D19</t>
  </si>
  <si>
    <t>N19</t>
  </si>
  <si>
    <t>P19</t>
  </si>
  <si>
    <t>A20</t>
  </si>
  <si>
    <t>E20</t>
  </si>
  <si>
    <t>G20</t>
  </si>
  <si>
    <t>K20</t>
  </si>
  <si>
    <t>M20</t>
  </si>
  <si>
    <t>O20</t>
  </si>
  <si>
    <t>B20</t>
  </si>
  <si>
    <t>D20</t>
  </si>
  <si>
    <t>H20</t>
  </si>
  <si>
    <t>J20</t>
  </si>
  <si>
    <t>A21</t>
  </si>
  <si>
    <t>C21</t>
  </si>
  <si>
    <t>E21</t>
  </si>
  <si>
    <t>I21</t>
  </si>
  <si>
    <t>K21</t>
  </si>
  <si>
    <t>M21</t>
  </si>
  <si>
    <t>F21</t>
  </si>
  <si>
    <t>L21</t>
  </si>
  <si>
    <t>N21</t>
  </si>
  <si>
    <t>P21</t>
  </si>
  <si>
    <t>A22</t>
  </si>
  <si>
    <t>C22</t>
  </si>
  <si>
    <t>B22</t>
  </si>
  <si>
    <t>D22</t>
  </si>
  <si>
    <t>F22</t>
  </si>
  <si>
    <t>H22</t>
  </si>
  <si>
    <t>N22</t>
  </si>
  <si>
    <t>P22</t>
  </si>
  <si>
    <t>A23</t>
  </si>
  <si>
    <t>E23</t>
  </si>
  <si>
    <t>G23</t>
  </si>
  <si>
    <t>I23</t>
  </si>
  <si>
    <t>K23</t>
  </si>
  <si>
    <t>D23</t>
  </si>
  <si>
    <t>F23</t>
  </si>
  <si>
    <t>H23</t>
  </si>
  <si>
    <t>L23</t>
  </si>
  <si>
    <t>A24</t>
  </si>
  <si>
    <t>G24</t>
  </si>
  <si>
    <t>I24</t>
  </si>
  <si>
    <t>K24</t>
  </si>
  <si>
    <t>F24</t>
  </si>
  <si>
    <t>H24</t>
  </si>
  <si>
    <t>L24</t>
  </si>
  <si>
    <t>N24</t>
  </si>
  <si>
    <t>O7</t>
  </si>
  <si>
    <t>K10</t>
  </si>
  <si>
    <t>M10</t>
  </si>
  <si>
    <t>O10</t>
  </si>
  <si>
    <t>F12</t>
  </si>
  <si>
    <t>E7</t>
  </si>
  <si>
    <t>K7</t>
  </si>
  <si>
    <t>H7</t>
  </si>
  <si>
    <t>N7</t>
  </si>
  <si>
    <t>C8</t>
  </si>
  <si>
    <t>M8</t>
  </si>
  <si>
    <t>O8</t>
  </si>
  <si>
    <t>P8</t>
  </si>
  <si>
    <t>C9</t>
  </si>
  <si>
    <t>G9</t>
  </si>
  <si>
    <t>B9</t>
  </si>
  <si>
    <t>F9</t>
  </si>
  <si>
    <t>N9</t>
  </si>
  <si>
    <t>A10</t>
  </si>
  <si>
    <t>G10</t>
  </si>
  <si>
    <t>C11</t>
  </si>
  <si>
    <t>H11</t>
  </si>
  <si>
    <t>J11</t>
  </si>
  <si>
    <t>N11</t>
  </si>
  <si>
    <t>E12</t>
  </si>
  <si>
    <t>G12</t>
  </si>
  <si>
    <t>K13</t>
  </si>
  <si>
    <t>B13</t>
  </si>
  <si>
    <t>F13</t>
  </si>
  <si>
    <t>J13</t>
  </si>
  <si>
    <t>L13</t>
  </si>
  <si>
    <t>C14</t>
  </si>
  <si>
    <t>I14</t>
  </si>
  <si>
    <t>N14</t>
  </si>
  <si>
    <t>C15</t>
  </si>
  <si>
    <t>I15</t>
  </si>
  <si>
    <t>K15</t>
  </si>
  <si>
    <t>F15</t>
  </si>
  <si>
    <t>H15</t>
  </si>
  <si>
    <t>C16</t>
  </si>
  <si>
    <t>E16</t>
  </si>
  <si>
    <t>G16</t>
  </si>
  <si>
    <t>F16</t>
  </si>
  <si>
    <t>B19</t>
  </si>
  <si>
    <t>F20</t>
  </si>
  <si>
    <t>L20</t>
  </si>
  <si>
    <t>G21</t>
  </si>
  <si>
    <t>H21</t>
  </si>
  <si>
    <t>J22</t>
  </si>
  <si>
    <t>L22</t>
  </si>
  <si>
    <t>J23</t>
  </si>
  <si>
    <t>E24</t>
  </si>
  <si>
    <t>D24</t>
  </si>
  <si>
    <t>M11</t>
  </si>
  <si>
    <t>C7</t>
  </si>
  <si>
    <t>M7</t>
  </si>
  <si>
    <t>L7</t>
  </si>
  <si>
    <t>P7</t>
  </si>
  <si>
    <t>B8</t>
  </si>
  <si>
    <t>H8</t>
  </si>
  <si>
    <t>J8</t>
  </si>
  <si>
    <t>E9</t>
  </si>
  <si>
    <t>I9</t>
  </si>
  <si>
    <t>M9</t>
  </si>
  <si>
    <t>O9</t>
  </si>
  <si>
    <t>P9</t>
  </si>
  <si>
    <t>E11</t>
  </si>
  <si>
    <t>G11</t>
  </si>
  <si>
    <t>I12</t>
  </si>
  <si>
    <t>M12</t>
  </si>
  <si>
    <t>B12</t>
  </si>
  <si>
    <t>A13</t>
  </si>
  <si>
    <t>A14</t>
  </si>
  <si>
    <t>M14</t>
  </si>
  <si>
    <t>O14</t>
  </si>
  <si>
    <t>B14</t>
  </si>
  <si>
    <t>D14</t>
  </si>
  <si>
    <t>A15</t>
  </si>
  <si>
    <t>E15</t>
  </si>
  <si>
    <t>O15</t>
  </si>
  <si>
    <t>B15</t>
  </si>
  <si>
    <t>J15</t>
  </si>
  <si>
    <t>L15</t>
  </si>
  <si>
    <t>N15</t>
  </si>
  <si>
    <t>P15</t>
  </si>
  <si>
    <t>J16</t>
  </si>
  <si>
    <t>L16</t>
  </si>
  <si>
    <t>N16</t>
  </si>
  <si>
    <t>P16</t>
  </si>
  <si>
    <t>A19</t>
  </si>
  <si>
    <t>G19</t>
  </si>
  <si>
    <t>K19</t>
  </si>
  <si>
    <t>M19</t>
  </si>
  <si>
    <t>F19</t>
  </si>
  <si>
    <t>H19</t>
  </si>
  <si>
    <t>J19</t>
  </si>
  <si>
    <t>L19</t>
  </si>
  <si>
    <t>C20</t>
  </si>
  <si>
    <t>I20</t>
  </si>
  <si>
    <t>N20</t>
  </si>
  <si>
    <t>P20</t>
  </si>
  <si>
    <t>O21</t>
  </si>
  <si>
    <t>B21</t>
  </si>
  <si>
    <t>D21</t>
  </si>
  <si>
    <t>J21</t>
  </si>
  <si>
    <t>C23</t>
  </si>
  <si>
    <t>M23</t>
  </si>
  <si>
    <t>O23</t>
  </si>
  <si>
    <t>B23</t>
  </si>
  <si>
    <t>N23</t>
  </si>
  <si>
    <t>P23</t>
  </si>
  <si>
    <t>C24</t>
  </si>
  <si>
    <t>M24</t>
  </si>
  <si>
    <t>O24</t>
  </si>
  <si>
    <t>B24</t>
  </si>
  <si>
    <t>J24</t>
  </si>
  <si>
    <t>A7</t>
  </si>
  <si>
    <t>K9</t>
  </si>
  <si>
    <t>O11</t>
  </si>
  <si>
    <t>O17</t>
  </si>
  <si>
    <t>SS</t>
  </si>
  <si>
    <t>DELCT</t>
  </si>
  <si>
    <t>Height 1</t>
  </si>
  <si>
    <t>3-43-25446$900833-11_C06.fsa</t>
  </si>
  <si>
    <t>3-43-25446$900833-11</t>
  </si>
  <si>
    <t>3-44-25446$900833-41_D06.fsa</t>
  </si>
  <si>
    <t>3-44-25446$900833-41</t>
  </si>
  <si>
    <t>3-45-25446$900833-60_E06.fsa</t>
  </si>
  <si>
    <t>3-45-25446$900833-60</t>
  </si>
  <si>
    <t>GM</t>
  </si>
  <si>
    <t>SEQ</t>
  </si>
  <si>
    <t>PCR1</t>
  </si>
  <si>
    <t>PCR2</t>
  </si>
  <si>
    <t>GM2</t>
  </si>
  <si>
    <t>SEQ2</t>
  </si>
  <si>
    <t>dnmt1-NO CAG</t>
  </si>
  <si>
    <t>rd1-NO CAG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</si>
</sst>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9"/>
      <name val="Geneva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/>
    <xf numFmtId="0" fontId="20" fillId="0" borderId="0"/>
  </cellStyleXfs>
  <cellXfs count="37">
    <xf numFmtId="0" fontId="0" fillId="0" borderId="0" xfId="0"/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0" xfId="0" applyBorder="1" applyAlignment="1">
      <alignment horizontal="center"/>
    </xf>
    <xf numFmtId="0" fontId="19" fillId="33" borderId="11" xfId="0" applyFont="1" applyFill="1" applyBorder="1" applyAlignment="1">
      <alignment wrapText="1"/>
    </xf>
    <xf numFmtId="0" fontId="19" fillId="0" borderId="12" xfId="0" applyFont="1" applyBorder="1" applyAlignment="1">
      <alignment wrapText="1"/>
    </xf>
    <xf numFmtId="164" fontId="0" fillId="35" borderId="11" xfId="0" applyNumberFormat="1" applyFill="1" applyBorder="1" applyAlignment="1">
      <alignment horizontal="center"/>
    </xf>
    <xf numFmtId="0" fontId="0" fillId="35" borderId="11" xfId="0" applyFill="1" applyBorder="1" applyAlignment="1">
      <alignment horizontal="center"/>
    </xf>
    <xf numFmtId="164" fontId="0" fillId="35" borderId="0" xfId="0" applyNumberFormat="1" applyFill="1" applyAlignment="1">
      <alignment horizontal="center"/>
    </xf>
    <xf numFmtId="0" fontId="0" fillId="35" borderId="0" xfId="0" applyFill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0" fontId="0" fillId="0" borderId="11" xfId="0" applyBorder="1"/>
    <xf numFmtId="0" fontId="14" fillId="0" borderId="11" xfId="0" applyFont="1" applyFill="1" applyBorder="1"/>
    <xf numFmtId="0" fontId="0" fillId="0" borderId="10" xfId="0" applyBorder="1"/>
    <xf numFmtId="164" fontId="0" fillId="0" borderId="16" xfId="0" applyNumberFormat="1" applyBorder="1"/>
    <xf numFmtId="0" fontId="0" fillId="0" borderId="11" xfId="0" applyFill="1" applyBorder="1"/>
    <xf numFmtId="0" fontId="14" fillId="0" borderId="11" xfId="0" applyFont="1" applyBorder="1"/>
    <xf numFmtId="0" fontId="0" fillId="36" borderId="11" xfId="0" applyFill="1" applyBorder="1" applyAlignment="1">
      <alignment horizontal="center"/>
    </xf>
    <xf numFmtId="164" fontId="0" fillId="38" borderId="11" xfId="0" applyNumberFormat="1" applyFill="1" applyBorder="1" applyAlignment="1">
      <alignment horizontal="center"/>
    </xf>
    <xf numFmtId="0" fontId="0" fillId="38" borderId="11" xfId="0" applyFill="1" applyBorder="1"/>
    <xf numFmtId="164" fontId="0" fillId="38" borderId="16" xfId="0" applyNumberFormat="1" applyFill="1" applyBorder="1"/>
    <xf numFmtId="0" fontId="14" fillId="37" borderId="11" xfId="0" applyFont="1" applyFill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0" fillId="36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" fontId="0" fillId="0" borderId="11" xfId="0" applyNumberFormat="1" applyBorder="1" applyAlignment="1">
      <alignment horizontal="center"/>
    </xf>
    <xf numFmtId="1" fontId="0" fillId="38" borderId="11" xfId="0" applyNumberFormat="1" applyFill="1" applyBorder="1" applyAlignment="1">
      <alignment horizontal="center"/>
    </xf>
    <xf numFmtId="0" fontId="19" fillId="34" borderId="11" xfId="0" applyFont="1" applyFill="1" applyBorder="1" applyAlignment="1">
      <alignment wrapText="1"/>
    </xf>
    <xf numFmtId="0" fontId="0" fillId="38" borderId="0" xfId="0" applyFill="1" applyBorder="1"/>
    <xf numFmtId="0" fontId="0" fillId="0" borderId="0" xfId="0" applyFill="1" applyBorder="1"/>
    <xf numFmtId="0" fontId="14" fillId="0" borderId="0" xfId="0" applyFont="1" applyBorder="1"/>
    <xf numFmtId="0" fontId="0" fillId="38" borderId="11" xfId="0" applyFill="1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rmal 2 6" xfId="43" xr:uid="{00000000-0005-0000-0000-000026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4">
    <dxf>
      <font>
        <color rgb="FFFF0000"/>
      </font>
    </dxf>
    <dxf>
      <font>
        <color rgb="FFFF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fgColor indexed="64"/>
          <bgColor theme="0" tint="-0.24994659260841701"/>
        </patternFill>
      </fill>
    </dxf>
    <dxf>
      <font>
        <color rgb="FFFF0000"/>
      </font>
    </dxf>
    <dxf>
      <font>
        <color rgb="FFFF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auto="1"/>
      </font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8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ont>
        <color auto="1"/>
      </font>
      <fill>
        <patternFill>
          <fgColor indexed="64"/>
          <bgColor theme="0" tint="-0.24994659260841701"/>
        </patternFill>
      </fill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60</xdr:row>
      <xdr:rowOff>0</xdr:rowOff>
    </xdr:from>
    <xdr:to>
      <xdr:col>41</xdr:col>
      <xdr:colOff>9525</xdr:colOff>
      <xdr:row>60</xdr:row>
      <xdr:rowOff>9525</xdr:rowOff>
    </xdr:to>
    <xdr:pic>
      <xdr:nvPicPr>
        <xdr:cNvPr id="2" name="Picture 66" descr="https://ssl.gstatic.com/ui/v1/icons/mail/images/cleardot.gif">
          <a:extLst>
            <a:ext uri="{FF2B5EF4-FFF2-40B4-BE49-F238E27FC236}">
              <a16:creationId xmlns:a16="http://schemas.microsoft.com/office/drawing/2014/main" id="{5E08E480-BE01-40A7-A68F-B0EE626F7B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63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41</xdr:col>
      <xdr:colOff>0</xdr:colOff>
      <xdr:row>60</xdr:row>
      <xdr:rowOff>0</xdr:rowOff>
    </xdr:from>
    <xdr:to>
      <xdr:col>41</xdr:col>
      <xdr:colOff>9525</xdr:colOff>
      <xdr:row>60</xdr:row>
      <xdr:rowOff>9525</xdr:rowOff>
    </xdr:to>
    <xdr:pic>
      <xdr:nvPicPr>
        <xdr:cNvPr id="3" name="Picture 1" descr="https://ssl.gstatic.com/ui/v1/icons/mail/images/cleardot.gif">
          <a:extLst>
            <a:ext uri="{FF2B5EF4-FFF2-40B4-BE49-F238E27FC236}">
              <a16:creationId xmlns:a16="http://schemas.microsoft.com/office/drawing/2014/main" id="{2680D2DF-72E4-47D1-B373-374654AA64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63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41</xdr:col>
      <xdr:colOff>0</xdr:colOff>
      <xdr:row>60</xdr:row>
      <xdr:rowOff>0</xdr:rowOff>
    </xdr:from>
    <xdr:to>
      <xdr:col>41</xdr:col>
      <xdr:colOff>9525</xdr:colOff>
      <xdr:row>60</xdr:row>
      <xdr:rowOff>9525</xdr:rowOff>
    </xdr:to>
    <xdr:pic>
      <xdr:nvPicPr>
        <xdr:cNvPr id="4" name="Picture 66" descr="https://ssl.gstatic.com/ui/v1/icons/mail/images/cleardot.gif">
          <a:extLst>
            <a:ext uri="{FF2B5EF4-FFF2-40B4-BE49-F238E27FC236}">
              <a16:creationId xmlns:a16="http://schemas.microsoft.com/office/drawing/2014/main" id="{ADC7A977-BA53-4F60-B4E7-53DD79B363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63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41</xdr:col>
      <xdr:colOff>0</xdr:colOff>
      <xdr:row>60</xdr:row>
      <xdr:rowOff>0</xdr:rowOff>
    </xdr:from>
    <xdr:to>
      <xdr:col>41</xdr:col>
      <xdr:colOff>9525</xdr:colOff>
      <xdr:row>60</xdr:row>
      <xdr:rowOff>9525</xdr:rowOff>
    </xdr:to>
    <xdr:pic>
      <xdr:nvPicPr>
        <xdr:cNvPr id="5" name="Picture 1" descr="https://ssl.gstatic.com/ui/v1/icons/mail/images/cleardot.gif">
          <a:extLst>
            <a:ext uri="{FF2B5EF4-FFF2-40B4-BE49-F238E27FC236}">
              <a16:creationId xmlns:a16="http://schemas.microsoft.com/office/drawing/2014/main" id="{E286A41B-E6EE-4E51-8B69-58C5975792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63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41</xdr:col>
      <xdr:colOff>0</xdr:colOff>
      <xdr:row>60</xdr:row>
      <xdr:rowOff>0</xdr:rowOff>
    </xdr:from>
    <xdr:to>
      <xdr:col>41</xdr:col>
      <xdr:colOff>9525</xdr:colOff>
      <xdr:row>60</xdr:row>
      <xdr:rowOff>9525</xdr:rowOff>
    </xdr:to>
    <xdr:pic>
      <xdr:nvPicPr>
        <xdr:cNvPr id="6" name="Picture 66" descr="https://ssl.gstatic.com/ui/v1/icons/mail/images/cleardot.gif">
          <a:extLst>
            <a:ext uri="{FF2B5EF4-FFF2-40B4-BE49-F238E27FC236}">
              <a16:creationId xmlns:a16="http://schemas.microsoft.com/office/drawing/2014/main" id="{1108543B-7557-4A77-9E36-FC28AF2247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63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41</xdr:col>
      <xdr:colOff>0</xdr:colOff>
      <xdr:row>60</xdr:row>
      <xdr:rowOff>0</xdr:rowOff>
    </xdr:from>
    <xdr:to>
      <xdr:col>41</xdr:col>
      <xdr:colOff>9525</xdr:colOff>
      <xdr:row>60</xdr:row>
      <xdr:rowOff>9525</xdr:rowOff>
    </xdr:to>
    <xdr:pic>
      <xdr:nvPicPr>
        <xdr:cNvPr id="7" name="Picture 1" descr="https://ssl.gstatic.com/ui/v1/icons/mail/images/cleardot.gif">
          <a:extLst>
            <a:ext uri="{FF2B5EF4-FFF2-40B4-BE49-F238E27FC236}">
              <a16:creationId xmlns:a16="http://schemas.microsoft.com/office/drawing/2014/main" id="{0B5E36C1-2A85-4D5C-B0F5-1BCEB89301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63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B374"/>
  <sheetViews>
    <sheetView tabSelected="1" zoomScale="70" zoomScaleNormal="70" workbookViewId="0">
      <pane ySplit="1" topLeftCell="A2" activePane="bottomLeft" state="frozen"/>
      <selection pane="bottomLeft" activeCell="X299" sqref="X299:Z337"/>
    </sheetView>
  </sheetViews>
  <sheetFormatPr defaultRowHeight="15"/>
  <cols>
    <col min="1" max="1" width="5.140625" style="3" bestFit="1" customWidth="1"/>
    <col min="2" max="2" width="15.85546875" style="3" bestFit="1" customWidth="1"/>
    <col min="3" max="3" width="8.5703125" style="4" bestFit="1" customWidth="1"/>
    <col min="4" max="4" width="8.28515625" style="4" bestFit="1" customWidth="1"/>
    <col min="5" max="5" width="7.5703125" style="10" bestFit="1" customWidth="1"/>
    <col min="6" max="6" width="8" style="11" bestFit="1" customWidth="1"/>
    <col min="7" max="7" width="7.7109375" style="3" bestFit="1" customWidth="1"/>
    <col min="8" max="8" width="7" style="3" bestFit="1" customWidth="1"/>
    <col min="9" max="9" width="6.28515625" style="3" bestFit="1" customWidth="1"/>
    <col min="10" max="10" width="8.28515625" style="3" bestFit="1" customWidth="1"/>
    <col min="11" max="11" width="9.5703125" style="3" bestFit="1" customWidth="1"/>
    <col min="12" max="12" width="7.28515625" style="3" bestFit="1" customWidth="1"/>
    <col min="13" max="13" width="5" style="3" customWidth="1"/>
    <col min="15" max="15" width="16.7109375" customWidth="1"/>
    <col min="17" max="17" width="19.7109375" style="3" bestFit="1" customWidth="1"/>
    <col min="18" max="18" width="14" customWidth="1"/>
    <col min="20" max="20" width="8.5703125" style="4" bestFit="1" customWidth="1"/>
    <col min="21" max="21" width="8.28515625" style="4" bestFit="1" customWidth="1"/>
    <col min="24" max="24" width="15.85546875" bestFit="1" customWidth="1"/>
    <col min="25" max="25" width="15.85546875" customWidth="1"/>
    <col min="26" max="26" width="7.7109375" style="3" bestFit="1" customWidth="1"/>
    <col min="27" max="27" width="15.85546875" customWidth="1"/>
    <col min="39" max="39" width="13.42578125" customWidth="1"/>
  </cols>
  <sheetData>
    <row r="1" spans="1:54">
      <c r="A1" s="1" t="s">
        <v>0</v>
      </c>
      <c r="B1" s="1" t="s">
        <v>1</v>
      </c>
      <c r="C1" s="2" t="s">
        <v>337</v>
      </c>
      <c r="D1" s="2" t="s">
        <v>338</v>
      </c>
      <c r="E1" s="8" t="s">
        <v>3</v>
      </c>
      <c r="F1" s="9" t="s">
        <v>5</v>
      </c>
      <c r="G1" s="1" t="s">
        <v>365</v>
      </c>
      <c r="H1" s="1" t="s">
        <v>339</v>
      </c>
      <c r="I1" s="1" t="s">
        <v>340</v>
      </c>
      <c r="J1" s="1" t="s">
        <v>341</v>
      </c>
      <c r="K1" s="1" t="s">
        <v>356</v>
      </c>
      <c r="L1" s="1" t="s">
        <v>362</v>
      </c>
      <c r="M1" s="1" t="s">
        <v>363</v>
      </c>
      <c r="N1" t="s">
        <v>364</v>
      </c>
      <c r="O1" s="5" t="s">
        <v>367</v>
      </c>
      <c r="Q1" s="12" t="s">
        <v>1</v>
      </c>
      <c r="R1" t="s">
        <v>1034</v>
      </c>
      <c r="T1" s="14" t="s">
        <v>337</v>
      </c>
      <c r="U1" s="14" t="s">
        <v>338</v>
      </c>
      <c r="V1" t="s">
        <v>356</v>
      </c>
      <c r="W1" s="17" t="s">
        <v>1035</v>
      </c>
      <c r="X1" s="15" t="s">
        <v>1045</v>
      </c>
      <c r="Y1" s="15" t="s">
        <v>1043</v>
      </c>
      <c r="Z1" s="13" t="s">
        <v>365</v>
      </c>
      <c r="AA1" s="15" t="s">
        <v>1044</v>
      </c>
      <c r="AB1" s="15" t="s">
        <v>1046</v>
      </c>
      <c r="AC1" s="15" t="s">
        <v>1047</v>
      </c>
      <c r="AD1" s="15" t="s">
        <v>1048</v>
      </c>
      <c r="AE1" s="15" t="s">
        <v>1036</v>
      </c>
      <c r="AF1" s="15" t="s">
        <v>366</v>
      </c>
      <c r="AG1" s="29"/>
      <c r="AH1" s="29"/>
      <c r="AI1" s="29"/>
      <c r="AJ1" s="29"/>
      <c r="AK1" s="29"/>
      <c r="AL1" s="29"/>
    </row>
    <row r="2" spans="1:54" ht="26.25">
      <c r="A2" s="1">
        <v>1</v>
      </c>
      <c r="B2" s="1" t="s">
        <v>2</v>
      </c>
      <c r="C2" s="2" t="s">
        <v>129</v>
      </c>
      <c r="D2" s="2">
        <v>24.853000000000002</v>
      </c>
      <c r="E2" s="8" t="s">
        <v>129</v>
      </c>
      <c r="F2" s="8" t="s">
        <v>203</v>
      </c>
      <c r="G2" s="1" t="s">
        <v>129</v>
      </c>
      <c r="H2" s="1"/>
      <c r="I2" s="1" t="s">
        <v>342</v>
      </c>
      <c r="J2" s="1">
        <v>1</v>
      </c>
      <c r="K2" s="1" t="str">
        <f>CONCATENATE(I2,J2)</f>
        <v>A1</v>
      </c>
      <c r="L2" s="1" t="s">
        <v>358</v>
      </c>
      <c r="M2" s="1">
        <v>1</v>
      </c>
      <c r="N2">
        <v>1</v>
      </c>
      <c r="O2" s="6" t="s">
        <v>368</v>
      </c>
      <c r="Q2" s="1" t="s">
        <v>2</v>
      </c>
      <c r="R2" s="15" t="s">
        <v>414</v>
      </c>
      <c r="T2" s="2" t="s">
        <v>129</v>
      </c>
      <c r="U2" s="2">
        <v>24.853000000000002</v>
      </c>
      <c r="V2" s="15" t="s">
        <v>741</v>
      </c>
      <c r="W2" s="18" t="e">
        <f>T2-U2</f>
        <v>#VALUE!</v>
      </c>
      <c r="X2" s="30"/>
      <c r="Y2" s="30"/>
      <c r="Z2" s="1" t="s">
        <v>129</v>
      </c>
      <c r="AA2" s="15"/>
      <c r="AB2" s="15"/>
      <c r="AC2" s="15"/>
      <c r="AD2" s="15"/>
      <c r="AE2" s="15"/>
      <c r="AF2" s="15"/>
      <c r="AG2" s="29"/>
      <c r="AH2" s="1" t="s">
        <v>86</v>
      </c>
      <c r="AJ2" s="6" t="s">
        <v>1049</v>
      </c>
      <c r="AL2" s="1" t="s">
        <v>2</v>
      </c>
      <c r="AM2" s="15" t="s">
        <v>414</v>
      </c>
      <c r="AN2" t="b">
        <f>R2=AM2</f>
        <v>1</v>
      </c>
      <c r="AP2" s="15"/>
      <c r="AQ2" s="15"/>
      <c r="AR2" s="15"/>
      <c r="AS2" s="15"/>
      <c r="AT2" s="15"/>
      <c r="AU2" s="15"/>
    </row>
    <row r="3" spans="1:54">
      <c r="A3" s="1">
        <v>49</v>
      </c>
      <c r="B3" s="1" t="s">
        <v>49</v>
      </c>
      <c r="C3" s="2">
        <v>25.989000000000001</v>
      </c>
      <c r="D3" s="2">
        <v>25.315999999999999</v>
      </c>
      <c r="E3" s="8" t="s">
        <v>203</v>
      </c>
      <c r="F3" s="8" t="s">
        <v>203</v>
      </c>
      <c r="G3" s="1" t="s">
        <v>203</v>
      </c>
      <c r="H3" s="1"/>
      <c r="I3" s="1" t="s">
        <v>344</v>
      </c>
      <c r="J3" s="1">
        <v>1</v>
      </c>
      <c r="K3" s="1" t="str">
        <f>CONCATENATE(I3,J3)</f>
        <v>C1</v>
      </c>
      <c r="L3" s="1" t="s">
        <v>358</v>
      </c>
      <c r="M3" s="1">
        <v>3</v>
      </c>
      <c r="N3">
        <v>2</v>
      </c>
      <c r="O3" s="6" t="s">
        <v>368</v>
      </c>
      <c r="Q3" s="1" t="s">
        <v>49</v>
      </c>
      <c r="R3" s="15" t="s">
        <v>371</v>
      </c>
      <c r="T3" s="2">
        <v>25.989000000000001</v>
      </c>
      <c r="U3" s="2">
        <v>25.315999999999999</v>
      </c>
      <c r="V3" s="15" t="s">
        <v>698</v>
      </c>
      <c r="W3" s="18">
        <f>T3-U3</f>
        <v>0.67300000000000182</v>
      </c>
      <c r="X3" s="30">
        <v>1274.51</v>
      </c>
      <c r="Y3" s="30">
        <f>(X3-450)/3</f>
        <v>274.83666666666664</v>
      </c>
      <c r="Z3" s="1" t="s">
        <v>203</v>
      </c>
      <c r="AA3" s="15"/>
      <c r="AB3" s="15"/>
      <c r="AC3" s="15"/>
      <c r="AD3" s="15"/>
      <c r="AE3" s="15">
        <v>1754</v>
      </c>
      <c r="AF3" s="15"/>
      <c r="AG3" s="29"/>
      <c r="AH3" s="1" t="s">
        <v>86</v>
      </c>
      <c r="AJ3" t="s">
        <v>1049</v>
      </c>
      <c r="AL3" s="1" t="s">
        <v>49</v>
      </c>
      <c r="AM3" s="15" t="s">
        <v>371</v>
      </c>
      <c r="AN3" t="b">
        <f>R3=AM3</f>
        <v>1</v>
      </c>
      <c r="AP3" s="15"/>
      <c r="AQ3" s="15"/>
      <c r="AR3" s="15"/>
      <c r="AS3" s="15"/>
      <c r="AT3" s="15"/>
      <c r="AU3" s="15"/>
    </row>
    <row r="4" spans="1:54">
      <c r="A4" s="1">
        <v>97</v>
      </c>
      <c r="B4" s="1" t="s">
        <v>93</v>
      </c>
      <c r="C4" s="2">
        <v>25.984000000000002</v>
      </c>
      <c r="D4" s="2">
        <v>25.056999999999999</v>
      </c>
      <c r="E4" s="8" t="s">
        <v>203</v>
      </c>
      <c r="F4" s="8" t="s">
        <v>203</v>
      </c>
      <c r="G4" s="1" t="s">
        <v>203</v>
      </c>
      <c r="H4" s="1"/>
      <c r="I4" s="1" t="s">
        <v>346</v>
      </c>
      <c r="J4" s="1">
        <v>1</v>
      </c>
      <c r="K4" s="1" t="str">
        <f>CONCATENATE(I4,J4)</f>
        <v>E1</v>
      </c>
      <c r="L4" s="1" t="s">
        <v>358</v>
      </c>
      <c r="M4" s="1">
        <v>5</v>
      </c>
      <c r="N4">
        <v>3</v>
      </c>
      <c r="O4" s="6" t="s">
        <v>368</v>
      </c>
      <c r="Q4" s="1" t="s">
        <v>93</v>
      </c>
      <c r="R4" s="15" t="s">
        <v>372</v>
      </c>
      <c r="T4" s="2">
        <v>25.984000000000002</v>
      </c>
      <c r="U4" s="2">
        <v>25.056999999999999</v>
      </c>
      <c r="V4" s="15" t="s">
        <v>699</v>
      </c>
      <c r="W4" s="18">
        <f>T4-U4</f>
        <v>0.92700000000000315</v>
      </c>
      <c r="X4" s="30">
        <v>1273.79</v>
      </c>
      <c r="Y4" s="30">
        <f>(X4-450)/3</f>
        <v>274.59666666666664</v>
      </c>
      <c r="Z4" s="1" t="s">
        <v>203</v>
      </c>
      <c r="AA4" s="15"/>
      <c r="AB4" s="15"/>
      <c r="AC4" s="15"/>
      <c r="AD4" s="15"/>
      <c r="AE4" s="15">
        <v>1988</v>
      </c>
      <c r="AF4" s="15"/>
      <c r="AG4" s="29"/>
      <c r="AH4" s="1" t="s">
        <v>42</v>
      </c>
      <c r="AJ4" t="s">
        <v>1049</v>
      </c>
      <c r="AL4" s="1" t="s">
        <v>93</v>
      </c>
      <c r="AM4" s="15" t="s">
        <v>372</v>
      </c>
      <c r="AN4" t="b">
        <f>R4=AM4</f>
        <v>1</v>
      </c>
      <c r="AP4" s="15"/>
      <c r="AQ4" s="15"/>
      <c r="AR4" s="15"/>
      <c r="AS4" s="15"/>
      <c r="AT4" s="15"/>
      <c r="AU4" s="15"/>
    </row>
    <row r="5" spans="1:54">
      <c r="A5" s="1">
        <v>145</v>
      </c>
      <c r="B5" s="1" t="s">
        <v>136</v>
      </c>
      <c r="C5" s="2">
        <v>25.709</v>
      </c>
      <c r="D5" s="2">
        <v>24.645</v>
      </c>
      <c r="E5" s="8" t="s">
        <v>203</v>
      </c>
      <c r="F5" s="8" t="s">
        <v>203</v>
      </c>
      <c r="G5" s="1" t="s">
        <v>203</v>
      </c>
      <c r="H5" s="1"/>
      <c r="I5" s="1" t="s">
        <v>348</v>
      </c>
      <c r="J5" s="1">
        <v>1</v>
      </c>
      <c r="K5" s="1" t="str">
        <f>CONCATENATE(I5,J5)</f>
        <v>G1</v>
      </c>
      <c r="L5" s="1" t="s">
        <v>358</v>
      </c>
      <c r="M5" s="1">
        <v>7</v>
      </c>
      <c r="N5">
        <v>4</v>
      </c>
      <c r="O5" s="6" t="s">
        <v>368</v>
      </c>
      <c r="Q5" s="1" t="s">
        <v>136</v>
      </c>
      <c r="R5" s="15" t="s">
        <v>373</v>
      </c>
      <c r="T5" s="2">
        <v>25.709</v>
      </c>
      <c r="U5" s="2">
        <v>24.645</v>
      </c>
      <c r="V5" s="15" t="s">
        <v>700</v>
      </c>
      <c r="W5" s="18">
        <f>T5-U5</f>
        <v>1.0640000000000001</v>
      </c>
      <c r="X5" s="30">
        <v>1260.43</v>
      </c>
      <c r="Y5" s="30">
        <f>(X5-450)/3</f>
        <v>270.14333333333337</v>
      </c>
      <c r="Z5" s="1" t="s">
        <v>203</v>
      </c>
      <c r="AA5" s="15"/>
      <c r="AB5" s="15"/>
      <c r="AC5" s="15"/>
      <c r="AD5" s="15"/>
      <c r="AE5" s="15">
        <v>1864</v>
      </c>
      <c r="AF5" s="15"/>
      <c r="AG5" s="29"/>
      <c r="AH5" s="1" t="s">
        <v>86</v>
      </c>
      <c r="AJ5" t="s">
        <v>1049</v>
      </c>
      <c r="AL5" s="1" t="s">
        <v>136</v>
      </c>
      <c r="AM5" s="15" t="s">
        <v>373</v>
      </c>
      <c r="AN5" t="b">
        <f>R5=AM5</f>
        <v>1</v>
      </c>
    </row>
    <row r="6" spans="1:54">
      <c r="A6" s="1">
        <v>193</v>
      </c>
      <c r="B6" s="1" t="s">
        <v>179</v>
      </c>
      <c r="C6" s="2">
        <v>25.782</v>
      </c>
      <c r="D6" s="2">
        <v>24.92</v>
      </c>
      <c r="E6" s="8" t="s">
        <v>203</v>
      </c>
      <c r="F6" s="8" t="s">
        <v>203</v>
      </c>
      <c r="G6" s="1" t="s">
        <v>203</v>
      </c>
      <c r="H6" s="1"/>
      <c r="I6" s="1" t="s">
        <v>350</v>
      </c>
      <c r="J6" s="1">
        <v>1</v>
      </c>
      <c r="K6" s="1" t="str">
        <f>CONCATENATE(I6,J6)</f>
        <v>I1</v>
      </c>
      <c r="L6" s="1" t="s">
        <v>359</v>
      </c>
      <c r="M6" s="1">
        <v>97</v>
      </c>
      <c r="N6">
        <v>5</v>
      </c>
      <c r="O6" s="6" t="s">
        <v>368</v>
      </c>
      <c r="Q6" s="1" t="s">
        <v>179</v>
      </c>
      <c r="R6" s="15" t="s">
        <v>374</v>
      </c>
      <c r="T6" s="2">
        <v>25.782</v>
      </c>
      <c r="U6" s="2">
        <v>24.92</v>
      </c>
      <c r="V6" s="15" t="s">
        <v>701</v>
      </c>
      <c r="W6" s="18">
        <f>T6-U6</f>
        <v>0.86199999999999832</v>
      </c>
      <c r="X6" s="30">
        <v>1245.46</v>
      </c>
      <c r="Y6" s="30">
        <f>(X6-450)/3</f>
        <v>265.15333333333336</v>
      </c>
      <c r="Z6" s="1" t="s">
        <v>203</v>
      </c>
      <c r="AA6" s="15"/>
      <c r="AB6" s="15"/>
      <c r="AC6" s="15"/>
      <c r="AD6" s="15"/>
      <c r="AE6" s="15">
        <v>1474</v>
      </c>
      <c r="AF6" s="15"/>
      <c r="AG6" s="29"/>
      <c r="AH6" s="1" t="s">
        <v>42</v>
      </c>
      <c r="AJ6" t="s">
        <v>1049</v>
      </c>
      <c r="AL6" s="1" t="s">
        <v>179</v>
      </c>
      <c r="AM6" s="15" t="s">
        <v>374</v>
      </c>
      <c r="AN6" t="b">
        <f>R6=AM6</f>
        <v>1</v>
      </c>
    </row>
    <row r="7" spans="1:54">
      <c r="A7" s="1">
        <v>241</v>
      </c>
      <c r="B7" s="1" t="s">
        <v>220</v>
      </c>
      <c r="C7" s="2" t="s">
        <v>129</v>
      </c>
      <c r="D7" s="2">
        <v>25.132999999999999</v>
      </c>
      <c r="E7" s="8" t="s">
        <v>129</v>
      </c>
      <c r="F7" s="8" t="s">
        <v>203</v>
      </c>
      <c r="G7" s="1" t="s">
        <v>129</v>
      </c>
      <c r="H7" s="1"/>
      <c r="I7" s="1" t="s">
        <v>352</v>
      </c>
      <c r="J7" s="1">
        <v>1</v>
      </c>
      <c r="K7" s="1" t="str">
        <f>CONCATENATE(I7,J7)</f>
        <v>K1</v>
      </c>
      <c r="L7" s="1" t="s">
        <v>359</v>
      </c>
      <c r="M7" s="1">
        <v>99</v>
      </c>
      <c r="N7">
        <v>6</v>
      </c>
      <c r="O7" s="6" t="s">
        <v>368</v>
      </c>
      <c r="Q7" s="1" t="s">
        <v>220</v>
      </c>
      <c r="R7" s="15" t="s">
        <v>415</v>
      </c>
      <c r="T7" s="2" t="s">
        <v>129</v>
      </c>
      <c r="U7" s="2">
        <v>25.132999999999999</v>
      </c>
      <c r="V7" s="15" t="s">
        <v>742</v>
      </c>
      <c r="W7" s="18" t="e">
        <f>T7-U7</f>
        <v>#VALUE!</v>
      </c>
      <c r="X7" s="30"/>
      <c r="Y7" s="30"/>
      <c r="Z7" s="1" t="s">
        <v>129</v>
      </c>
      <c r="AA7" s="15"/>
      <c r="AB7" s="15"/>
      <c r="AC7" s="15"/>
      <c r="AD7" s="15"/>
      <c r="AE7" s="15"/>
      <c r="AF7" s="15"/>
      <c r="AG7" s="29"/>
      <c r="AH7" s="1" t="s">
        <v>86</v>
      </c>
      <c r="AJ7" t="s">
        <v>1049</v>
      </c>
      <c r="AL7" s="1" t="s">
        <v>220</v>
      </c>
      <c r="AM7" s="15" t="s">
        <v>415</v>
      </c>
      <c r="AN7" t="b">
        <f>R7=AM7</f>
        <v>1</v>
      </c>
    </row>
    <row r="8" spans="1:54">
      <c r="A8" s="1">
        <v>289</v>
      </c>
      <c r="B8" s="1" t="s">
        <v>260</v>
      </c>
      <c r="C8" s="2">
        <v>26.311</v>
      </c>
      <c r="D8" s="2">
        <v>25.042999999999999</v>
      </c>
      <c r="E8" s="8" t="s">
        <v>203</v>
      </c>
      <c r="F8" s="8" t="s">
        <v>203</v>
      </c>
      <c r="G8" s="1" t="s">
        <v>203</v>
      </c>
      <c r="H8" s="1"/>
      <c r="I8" s="1" t="s">
        <v>353</v>
      </c>
      <c r="J8" s="1">
        <v>1</v>
      </c>
      <c r="K8" s="1" t="str">
        <f>CONCATENATE(I8,J8)</f>
        <v>M1</v>
      </c>
      <c r="L8" s="1" t="s">
        <v>359</v>
      </c>
      <c r="M8" s="1">
        <v>101</v>
      </c>
      <c r="N8">
        <v>7</v>
      </c>
      <c r="O8" s="6" t="s">
        <v>368</v>
      </c>
      <c r="Q8" s="1" t="s">
        <v>260</v>
      </c>
      <c r="R8" s="15" t="s">
        <v>375</v>
      </c>
      <c r="T8" s="2">
        <v>26.311</v>
      </c>
      <c r="U8" s="2">
        <v>25.042999999999999</v>
      </c>
      <c r="V8" s="15" t="s">
        <v>702</v>
      </c>
      <c r="W8" s="18">
        <f>T8-U8</f>
        <v>1.2680000000000007</v>
      </c>
      <c r="X8" s="30">
        <v>1270.3800000000001</v>
      </c>
      <c r="Y8" s="30">
        <f>(X8-450)/3</f>
        <v>273.46000000000004</v>
      </c>
      <c r="Z8" s="1" t="s">
        <v>203</v>
      </c>
      <c r="AA8" s="15"/>
      <c r="AB8" s="15"/>
      <c r="AC8" s="15"/>
      <c r="AD8" s="15"/>
      <c r="AE8" s="15">
        <v>1944</v>
      </c>
      <c r="AF8" s="15"/>
      <c r="AG8" s="29"/>
      <c r="AH8" s="1" t="s">
        <v>86</v>
      </c>
      <c r="AJ8" t="s">
        <v>1049</v>
      </c>
      <c r="AL8" s="1" t="s">
        <v>260</v>
      </c>
      <c r="AM8" s="15" t="s">
        <v>375</v>
      </c>
      <c r="AN8" t="b">
        <f>R8=AM8</f>
        <v>1</v>
      </c>
    </row>
    <row r="9" spans="1:54">
      <c r="A9" s="1">
        <v>337</v>
      </c>
      <c r="B9" s="1" t="s">
        <v>299</v>
      </c>
      <c r="C9" s="2" t="s">
        <v>129</v>
      </c>
      <c r="D9" s="2">
        <v>22.956</v>
      </c>
      <c r="E9" s="8" t="s">
        <v>129</v>
      </c>
      <c r="F9" s="8" t="s">
        <v>203</v>
      </c>
      <c r="G9" s="1" t="s">
        <v>129</v>
      </c>
      <c r="H9" s="1"/>
      <c r="I9" s="1" t="s">
        <v>354</v>
      </c>
      <c r="J9" s="1">
        <v>1</v>
      </c>
      <c r="K9" s="1" t="str">
        <f>CONCATENATE(I9,J9)</f>
        <v>O1</v>
      </c>
      <c r="L9" s="1" t="s">
        <v>359</v>
      </c>
      <c r="M9" s="1">
        <v>103</v>
      </c>
      <c r="N9">
        <v>8</v>
      </c>
      <c r="O9" s="6" t="s">
        <v>368</v>
      </c>
      <c r="Q9" s="1" t="s">
        <v>299</v>
      </c>
      <c r="R9" s="15" t="s">
        <v>416</v>
      </c>
      <c r="T9" s="2" t="s">
        <v>129</v>
      </c>
      <c r="U9" s="2">
        <v>22.956</v>
      </c>
      <c r="V9" s="15" t="s">
        <v>743</v>
      </c>
      <c r="W9" s="18" t="e">
        <f>T9-U9</f>
        <v>#VALUE!</v>
      </c>
      <c r="X9" s="30"/>
      <c r="Y9" s="30"/>
      <c r="Z9" s="1" t="s">
        <v>129</v>
      </c>
      <c r="AA9" s="15"/>
      <c r="AB9" s="15"/>
      <c r="AC9" s="15"/>
      <c r="AD9" s="15"/>
      <c r="AE9" s="15"/>
      <c r="AF9" s="15"/>
      <c r="AG9" s="29"/>
      <c r="AH9" s="1" t="s">
        <v>86</v>
      </c>
      <c r="AJ9" t="s">
        <v>1049</v>
      </c>
      <c r="AL9" s="1" t="s">
        <v>299</v>
      </c>
      <c r="AM9" s="15" t="s">
        <v>416</v>
      </c>
      <c r="AN9" t="b">
        <f>R9=AM9</f>
        <v>1</v>
      </c>
    </row>
    <row r="10" spans="1:54">
      <c r="A10" s="1">
        <v>25</v>
      </c>
      <c r="B10" s="1" t="s">
        <v>27</v>
      </c>
      <c r="C10" s="2" t="s">
        <v>129</v>
      </c>
      <c r="D10" s="2">
        <v>25.516999999999999</v>
      </c>
      <c r="E10" s="8" t="s">
        <v>129</v>
      </c>
      <c r="F10" s="8" t="s">
        <v>203</v>
      </c>
      <c r="G10" s="1" t="s">
        <v>129</v>
      </c>
      <c r="H10" s="1"/>
      <c r="I10" s="1" t="s">
        <v>343</v>
      </c>
      <c r="J10" s="1">
        <v>1</v>
      </c>
      <c r="K10" s="1" t="str">
        <f>CONCATENATE(I10,J10)</f>
        <v>B1</v>
      </c>
      <c r="L10" s="1" t="s">
        <v>358</v>
      </c>
      <c r="M10" s="1">
        <v>2</v>
      </c>
      <c r="N10">
        <v>9</v>
      </c>
      <c r="O10" s="6" t="s">
        <v>368</v>
      </c>
      <c r="Q10" s="1" t="s">
        <v>27</v>
      </c>
      <c r="R10" s="15" t="s">
        <v>417</v>
      </c>
      <c r="T10" s="2" t="s">
        <v>129</v>
      </c>
      <c r="U10" s="2">
        <v>25.516999999999999</v>
      </c>
      <c r="V10" s="15" t="s">
        <v>744</v>
      </c>
      <c r="W10" s="18" t="e">
        <f>T10-U10</f>
        <v>#VALUE!</v>
      </c>
      <c r="X10" s="30"/>
      <c r="Y10" s="30"/>
      <c r="Z10" s="1" t="s">
        <v>129</v>
      </c>
      <c r="AA10" s="15"/>
      <c r="AB10" s="15"/>
      <c r="AC10" s="15"/>
      <c r="AD10" s="15"/>
      <c r="AE10" s="15"/>
      <c r="AF10" s="15"/>
      <c r="AG10" s="29"/>
      <c r="AH10" s="1" t="s">
        <v>129</v>
      </c>
      <c r="AJ10" t="s">
        <v>1049</v>
      </c>
      <c r="AL10" s="1" t="s">
        <v>27</v>
      </c>
      <c r="AM10" s="15" t="s">
        <v>417</v>
      </c>
      <c r="AN10" t="b">
        <f>R10=AM10</f>
        <v>1</v>
      </c>
    </row>
    <row r="11" spans="1:54">
      <c r="A11" s="1">
        <v>73</v>
      </c>
      <c r="B11" s="1" t="s">
        <v>71</v>
      </c>
      <c r="C11" s="2" t="s">
        <v>129</v>
      </c>
      <c r="D11" s="2">
        <v>24.67</v>
      </c>
      <c r="E11" s="8" t="s">
        <v>129</v>
      </c>
      <c r="F11" s="8" t="s">
        <v>203</v>
      </c>
      <c r="G11" s="1" t="s">
        <v>129</v>
      </c>
      <c r="H11" s="1"/>
      <c r="I11" s="1" t="s">
        <v>345</v>
      </c>
      <c r="J11" s="1">
        <v>1</v>
      </c>
      <c r="K11" s="1" t="str">
        <f>CONCATENATE(I11,J11)</f>
        <v>D1</v>
      </c>
      <c r="L11" s="1" t="s">
        <v>358</v>
      </c>
      <c r="M11" s="1">
        <v>4</v>
      </c>
      <c r="N11">
        <v>10</v>
      </c>
      <c r="O11" s="6" t="s">
        <v>368</v>
      </c>
      <c r="Q11" s="1" t="s">
        <v>71</v>
      </c>
      <c r="R11" s="15" t="s">
        <v>418</v>
      </c>
      <c r="T11" s="2" t="s">
        <v>129</v>
      </c>
      <c r="U11" s="2">
        <v>24.67</v>
      </c>
      <c r="V11" s="15" t="s">
        <v>745</v>
      </c>
      <c r="W11" s="18" t="e">
        <f>T11-U11</f>
        <v>#VALUE!</v>
      </c>
      <c r="X11" s="30"/>
      <c r="Y11" s="30"/>
      <c r="Z11" s="1" t="s">
        <v>129</v>
      </c>
      <c r="AA11" s="15"/>
      <c r="AB11" s="15"/>
      <c r="AC11" s="15"/>
      <c r="AD11" s="15"/>
      <c r="AE11" s="15"/>
      <c r="AF11" s="15"/>
      <c r="AG11" s="29"/>
      <c r="AH11" s="1" t="s">
        <v>86</v>
      </c>
      <c r="AJ11" t="s">
        <v>1049</v>
      </c>
      <c r="AL11" s="1" t="s">
        <v>71</v>
      </c>
      <c r="AM11" s="15" t="s">
        <v>418</v>
      </c>
      <c r="AN11" t="b">
        <f>R11=AM11</f>
        <v>1</v>
      </c>
    </row>
    <row r="12" spans="1:54">
      <c r="A12" s="1">
        <v>121</v>
      </c>
      <c r="B12" s="1" t="s">
        <v>114</v>
      </c>
      <c r="C12" s="2">
        <v>22.757000000000001</v>
      </c>
      <c r="D12" s="2">
        <v>25.56</v>
      </c>
      <c r="E12" s="8" t="s">
        <v>203</v>
      </c>
      <c r="F12" s="8" t="s">
        <v>203</v>
      </c>
      <c r="G12" s="1" t="s">
        <v>203</v>
      </c>
      <c r="H12" s="1"/>
      <c r="I12" s="1" t="s">
        <v>347</v>
      </c>
      <c r="J12" s="1">
        <v>1</v>
      </c>
      <c r="K12" s="1" t="str">
        <f>CONCATENATE(I12,J12)</f>
        <v>F1</v>
      </c>
      <c r="L12" s="1" t="s">
        <v>358</v>
      </c>
      <c r="M12" s="1">
        <v>6</v>
      </c>
      <c r="N12">
        <v>11</v>
      </c>
      <c r="O12" s="6" t="s">
        <v>368</v>
      </c>
      <c r="Q12" s="21" t="s">
        <v>114</v>
      </c>
      <c r="R12" s="15" t="s">
        <v>376</v>
      </c>
      <c r="T12" s="22">
        <v>22.757000000000001</v>
      </c>
      <c r="U12" s="22">
        <v>25.56</v>
      </c>
      <c r="V12" s="23" t="s">
        <v>703</v>
      </c>
      <c r="W12" s="24">
        <f>T12-U12</f>
        <v>-2.8029999999999973</v>
      </c>
      <c r="X12" s="31"/>
      <c r="Y12" s="31"/>
      <c r="Z12" s="25" t="s">
        <v>129</v>
      </c>
      <c r="AA12" s="23"/>
      <c r="AB12" s="23"/>
      <c r="AC12" s="23"/>
      <c r="AD12" s="23"/>
      <c r="AE12" s="23"/>
      <c r="AF12" s="23">
        <v>1</v>
      </c>
      <c r="AG12" s="33"/>
      <c r="AH12" s="1" t="s">
        <v>86</v>
      </c>
      <c r="AJ12" t="s">
        <v>1049</v>
      </c>
      <c r="AL12" s="1" t="s">
        <v>114</v>
      </c>
      <c r="AM12" s="15" t="s">
        <v>376</v>
      </c>
      <c r="AN12" t="b">
        <f>R12=AM12</f>
        <v>1</v>
      </c>
      <c r="AP12" s="27" t="s">
        <v>114</v>
      </c>
      <c r="AQ12" s="28" t="s">
        <v>129</v>
      </c>
      <c r="AR12" s="28">
        <v>25.8065</v>
      </c>
      <c r="AS12" s="28" t="s">
        <v>129</v>
      </c>
      <c r="AT12" s="28" t="s">
        <v>203</v>
      </c>
      <c r="AU12" s="28" t="s">
        <v>129</v>
      </c>
      <c r="AW12" t="s">
        <v>1037</v>
      </c>
      <c r="AX12" t="s">
        <v>1038</v>
      </c>
      <c r="AY12" t="s">
        <v>343</v>
      </c>
      <c r="AZ12">
        <v>921.66</v>
      </c>
      <c r="BA12">
        <v>52</v>
      </c>
      <c r="BB12">
        <v>322</v>
      </c>
    </row>
    <row r="13" spans="1:54">
      <c r="A13" s="1">
        <v>169</v>
      </c>
      <c r="B13" s="1" t="s">
        <v>157</v>
      </c>
      <c r="C13" s="2">
        <v>27.07</v>
      </c>
      <c r="D13" s="2">
        <v>26.108000000000001</v>
      </c>
      <c r="E13" s="8" t="s">
        <v>203</v>
      </c>
      <c r="F13" s="8" t="s">
        <v>203</v>
      </c>
      <c r="G13" s="1" t="s">
        <v>203</v>
      </c>
      <c r="H13" s="1"/>
      <c r="I13" s="1" t="s">
        <v>349</v>
      </c>
      <c r="J13" s="1">
        <v>1</v>
      </c>
      <c r="K13" s="1" t="str">
        <f>CONCATENATE(I13,J13)</f>
        <v>H1</v>
      </c>
      <c r="L13" s="1" t="s">
        <v>358</v>
      </c>
      <c r="M13" s="1">
        <v>8</v>
      </c>
      <c r="N13">
        <v>12</v>
      </c>
      <c r="O13" s="6" t="s">
        <v>368</v>
      </c>
      <c r="Q13" s="1" t="s">
        <v>157</v>
      </c>
      <c r="R13" s="15" t="s">
        <v>377</v>
      </c>
      <c r="T13" s="2">
        <v>27.07</v>
      </c>
      <c r="U13" s="2">
        <v>26.108000000000001</v>
      </c>
      <c r="V13" s="15" t="s">
        <v>704</v>
      </c>
      <c r="W13" s="18">
        <f>T13-U13</f>
        <v>0.96199999999999974</v>
      </c>
      <c r="X13" s="30">
        <v>1286.54</v>
      </c>
      <c r="Y13" s="30">
        <f>(X13-450)/3</f>
        <v>278.84666666666664</v>
      </c>
      <c r="Z13" s="1" t="s">
        <v>203</v>
      </c>
      <c r="AA13" s="15"/>
      <c r="AB13" s="15"/>
      <c r="AC13" s="15"/>
      <c r="AD13" s="15"/>
      <c r="AE13" s="15">
        <v>1583</v>
      </c>
      <c r="AF13" s="15"/>
      <c r="AG13" s="29"/>
      <c r="AH13" s="1" t="s">
        <v>86</v>
      </c>
      <c r="AJ13" t="s">
        <v>1049</v>
      </c>
      <c r="AL13" s="1" t="s">
        <v>157</v>
      </c>
      <c r="AM13" s="15" t="s">
        <v>377</v>
      </c>
      <c r="AN13" t="b">
        <f>R13=AM13</f>
        <v>1</v>
      </c>
    </row>
    <row r="14" spans="1:54">
      <c r="A14" s="1">
        <v>217</v>
      </c>
      <c r="B14" s="1" t="s">
        <v>200</v>
      </c>
      <c r="C14" s="2">
        <v>35.368000000000002</v>
      </c>
      <c r="D14" s="2">
        <v>24.751000000000001</v>
      </c>
      <c r="E14" s="8" t="s">
        <v>366</v>
      </c>
      <c r="F14" s="8" t="s">
        <v>203</v>
      </c>
      <c r="G14" s="1" t="s">
        <v>129</v>
      </c>
      <c r="H14" s="1"/>
      <c r="I14" s="1" t="s">
        <v>351</v>
      </c>
      <c r="J14" s="1">
        <v>1</v>
      </c>
      <c r="K14" s="1" t="str">
        <f>CONCATENATE(I14,J14)</f>
        <v>J1</v>
      </c>
      <c r="L14" s="1" t="s">
        <v>359</v>
      </c>
      <c r="M14" s="1">
        <v>98</v>
      </c>
      <c r="N14">
        <v>13</v>
      </c>
      <c r="O14" s="6" t="s">
        <v>368</v>
      </c>
      <c r="Q14" s="1" t="s">
        <v>200</v>
      </c>
      <c r="R14" s="15" t="s">
        <v>407</v>
      </c>
      <c r="T14" s="2">
        <v>35.368000000000002</v>
      </c>
      <c r="U14" s="2">
        <v>24.751000000000001</v>
      </c>
      <c r="V14" s="15" t="s">
        <v>734</v>
      </c>
      <c r="W14" s="18">
        <f>T14-U14</f>
        <v>10.617000000000001</v>
      </c>
      <c r="X14" s="30"/>
      <c r="Y14" s="30"/>
      <c r="Z14" s="1" t="s">
        <v>129</v>
      </c>
      <c r="AA14" s="15"/>
      <c r="AB14" s="15"/>
      <c r="AC14" s="15"/>
      <c r="AD14" s="15"/>
      <c r="AE14" s="15"/>
      <c r="AF14" s="15"/>
      <c r="AG14" s="29"/>
      <c r="AH14" s="1" t="s">
        <v>129</v>
      </c>
      <c r="AJ14" t="s">
        <v>1049</v>
      </c>
      <c r="AL14" s="1" t="s">
        <v>200</v>
      </c>
      <c r="AM14" s="15" t="s">
        <v>407</v>
      </c>
      <c r="AN14" t="b">
        <f>R14=AM14</f>
        <v>1</v>
      </c>
    </row>
    <row r="15" spans="1:54">
      <c r="A15" s="1">
        <v>265</v>
      </c>
      <c r="B15" s="1" t="s">
        <v>241</v>
      </c>
      <c r="C15" s="2">
        <v>24.931000000000001</v>
      </c>
      <c r="D15" s="2">
        <v>24.184999999999999</v>
      </c>
      <c r="E15" s="8" t="s">
        <v>203</v>
      </c>
      <c r="F15" s="8" t="s">
        <v>203</v>
      </c>
      <c r="G15" s="1" t="s">
        <v>203</v>
      </c>
      <c r="H15" s="1"/>
      <c r="I15" s="1" t="s">
        <v>357</v>
      </c>
      <c r="J15" s="1">
        <v>1</v>
      </c>
      <c r="K15" s="1" t="str">
        <f>CONCATENATE(I15,J15)</f>
        <v>L1</v>
      </c>
      <c r="L15" s="1" t="s">
        <v>359</v>
      </c>
      <c r="M15" s="1">
        <v>100</v>
      </c>
      <c r="N15">
        <v>14</v>
      </c>
      <c r="O15" s="6" t="s">
        <v>368</v>
      </c>
      <c r="Q15" s="1" t="s">
        <v>241</v>
      </c>
      <c r="R15" s="15" t="s">
        <v>378</v>
      </c>
      <c r="T15" s="2">
        <v>24.931000000000001</v>
      </c>
      <c r="U15" s="2">
        <v>24.184999999999999</v>
      </c>
      <c r="V15" s="15" t="s">
        <v>705</v>
      </c>
      <c r="W15" s="18">
        <f>T15-U15</f>
        <v>0.74600000000000222</v>
      </c>
      <c r="X15" s="30">
        <v>1272.96</v>
      </c>
      <c r="Y15" s="30">
        <f>(X15-450)/3</f>
        <v>274.32</v>
      </c>
      <c r="Z15" s="1" t="s">
        <v>203</v>
      </c>
      <c r="AA15" s="15"/>
      <c r="AB15" s="15"/>
      <c r="AC15" s="15"/>
      <c r="AD15" s="15"/>
      <c r="AE15" s="15">
        <v>2155</v>
      </c>
      <c r="AF15" s="15"/>
      <c r="AG15" s="29"/>
      <c r="AH15" s="1" t="s">
        <v>86</v>
      </c>
      <c r="AJ15" t="s">
        <v>1049</v>
      </c>
      <c r="AL15" s="1" t="s">
        <v>241</v>
      </c>
      <c r="AM15" s="15" t="s">
        <v>378</v>
      </c>
      <c r="AN15" t="b">
        <f>R15=AM15</f>
        <v>1</v>
      </c>
    </row>
    <row r="16" spans="1:54">
      <c r="A16" s="1">
        <v>313</v>
      </c>
      <c r="B16" s="1" t="s">
        <v>280</v>
      </c>
      <c r="C16" s="2">
        <v>25.321000000000002</v>
      </c>
      <c r="D16" s="2">
        <v>24.286999999999999</v>
      </c>
      <c r="E16" s="8" t="s">
        <v>203</v>
      </c>
      <c r="F16" s="8" t="s">
        <v>203</v>
      </c>
      <c r="G16" s="1" t="s">
        <v>203</v>
      </c>
      <c r="H16" s="1"/>
      <c r="I16" s="1" t="s">
        <v>4</v>
      </c>
      <c r="J16" s="1">
        <v>1</v>
      </c>
      <c r="K16" s="1" t="str">
        <f>CONCATENATE(I16,J16)</f>
        <v>N1</v>
      </c>
      <c r="L16" s="1" t="s">
        <v>359</v>
      </c>
      <c r="M16" s="1">
        <v>102</v>
      </c>
      <c r="N16">
        <v>15</v>
      </c>
      <c r="O16" s="6" t="s">
        <v>368</v>
      </c>
      <c r="Q16" s="1" t="s">
        <v>280</v>
      </c>
      <c r="R16" s="15" t="s">
        <v>379</v>
      </c>
      <c r="T16" s="2">
        <v>25.321000000000002</v>
      </c>
      <c r="U16" s="2">
        <v>24.286999999999999</v>
      </c>
      <c r="V16" s="15" t="s">
        <v>706</v>
      </c>
      <c r="W16" s="18">
        <f>T16-U16</f>
        <v>1.0340000000000025</v>
      </c>
      <c r="X16" s="30">
        <v>1259.79</v>
      </c>
      <c r="Y16" s="30">
        <f>(X16-450)/3</f>
        <v>269.93</v>
      </c>
      <c r="Z16" s="1" t="s">
        <v>203</v>
      </c>
      <c r="AA16" s="15"/>
      <c r="AB16" s="15"/>
      <c r="AC16" s="15"/>
      <c r="AD16" s="15"/>
      <c r="AE16" s="15">
        <v>2303</v>
      </c>
      <c r="AF16" s="15"/>
      <c r="AG16" s="29"/>
      <c r="AH16" s="1" t="s">
        <v>42</v>
      </c>
      <c r="AJ16" t="s">
        <v>1049</v>
      </c>
      <c r="AL16" s="1" t="s">
        <v>280</v>
      </c>
      <c r="AM16" s="15" t="s">
        <v>379</v>
      </c>
      <c r="AN16" t="b">
        <f>R16=AM16</f>
        <v>1</v>
      </c>
    </row>
    <row r="17" spans="1:47">
      <c r="A17" s="1">
        <v>361</v>
      </c>
      <c r="B17" s="1" t="s">
        <v>319</v>
      </c>
      <c r="C17" s="2" t="s">
        <v>129</v>
      </c>
      <c r="D17" s="2">
        <v>23.826000000000001</v>
      </c>
      <c r="E17" s="8" t="s">
        <v>129</v>
      </c>
      <c r="F17" s="8" t="s">
        <v>203</v>
      </c>
      <c r="G17" s="1" t="s">
        <v>129</v>
      </c>
      <c r="H17" s="1"/>
      <c r="I17" s="1" t="s">
        <v>355</v>
      </c>
      <c r="J17" s="1">
        <v>1</v>
      </c>
      <c r="K17" s="1" t="str">
        <f>CONCATENATE(I17,J17)</f>
        <v>P1</v>
      </c>
      <c r="L17" s="1" t="s">
        <v>359</v>
      </c>
      <c r="M17" s="1">
        <v>104</v>
      </c>
      <c r="N17">
        <v>16</v>
      </c>
      <c r="O17" s="6" t="s">
        <v>368</v>
      </c>
      <c r="Q17" s="1" t="s">
        <v>319</v>
      </c>
      <c r="R17" s="15" t="s">
        <v>419</v>
      </c>
      <c r="T17" s="2" t="s">
        <v>129</v>
      </c>
      <c r="U17" s="2">
        <v>23.826000000000001</v>
      </c>
      <c r="V17" s="15" t="s">
        <v>746</v>
      </c>
      <c r="W17" s="18" t="e">
        <f>T17-U17</f>
        <v>#VALUE!</v>
      </c>
      <c r="X17" s="30"/>
      <c r="Y17" s="30"/>
      <c r="Z17" s="1" t="s">
        <v>129</v>
      </c>
      <c r="AA17" s="15"/>
      <c r="AB17" s="15"/>
      <c r="AC17" s="15"/>
      <c r="AD17" s="15"/>
      <c r="AE17" s="15"/>
      <c r="AF17" s="15"/>
      <c r="AG17" s="29"/>
      <c r="AH17" s="1" t="s">
        <v>86</v>
      </c>
      <c r="AJ17" t="s">
        <v>1049</v>
      </c>
      <c r="AL17" s="1" t="s">
        <v>319</v>
      </c>
      <c r="AM17" s="15" t="s">
        <v>419</v>
      </c>
      <c r="AN17" t="b">
        <f>R17=AM17</f>
        <v>1</v>
      </c>
    </row>
    <row r="18" spans="1:47">
      <c r="A18" s="1">
        <v>2</v>
      </c>
      <c r="B18" s="1" t="s">
        <v>6</v>
      </c>
      <c r="C18" s="2">
        <v>25.629000000000001</v>
      </c>
      <c r="D18" s="2">
        <v>24.45</v>
      </c>
      <c r="E18" s="8" t="s">
        <v>203</v>
      </c>
      <c r="F18" s="8" t="s">
        <v>203</v>
      </c>
      <c r="G18" s="1" t="s">
        <v>203</v>
      </c>
      <c r="H18" s="1"/>
      <c r="I18" s="1" t="s">
        <v>342</v>
      </c>
      <c r="J18" s="1">
        <v>2</v>
      </c>
      <c r="K18" s="1" t="str">
        <f>CONCATENATE(I18,J18)</f>
        <v>A2</v>
      </c>
      <c r="L18" s="1" t="s">
        <v>358</v>
      </c>
      <c r="M18" s="1">
        <v>9</v>
      </c>
      <c r="N18">
        <v>17</v>
      </c>
      <c r="O18" s="6" t="s">
        <v>368</v>
      </c>
      <c r="Q18" s="1" t="s">
        <v>6</v>
      </c>
      <c r="R18" s="15" t="s">
        <v>380</v>
      </c>
      <c r="T18" s="2">
        <v>25.629000000000001</v>
      </c>
      <c r="U18" s="2">
        <v>24.45</v>
      </c>
      <c r="V18" s="15" t="s">
        <v>707</v>
      </c>
      <c r="W18" s="18">
        <f>T18-U18</f>
        <v>1.179000000000002</v>
      </c>
      <c r="X18" s="30">
        <v>1242.78</v>
      </c>
      <c r="Y18" s="30">
        <f>(X18-450)/3</f>
        <v>264.26</v>
      </c>
      <c r="Z18" s="1" t="s">
        <v>203</v>
      </c>
      <c r="AA18" s="15"/>
      <c r="AB18" s="15"/>
      <c r="AC18" s="15"/>
      <c r="AD18" s="15"/>
      <c r="AE18" s="15">
        <v>2220</v>
      </c>
      <c r="AF18" s="15"/>
      <c r="AG18" s="29"/>
      <c r="AH18" s="1" t="s">
        <v>86</v>
      </c>
      <c r="AJ18" t="s">
        <v>1049</v>
      </c>
      <c r="AL18" s="1" t="s">
        <v>6</v>
      </c>
      <c r="AM18" s="15" t="s">
        <v>380</v>
      </c>
      <c r="AN18" t="b">
        <f>R18=AM18</f>
        <v>1</v>
      </c>
      <c r="AP18" s="29"/>
      <c r="AQ18" s="29"/>
      <c r="AR18" s="29"/>
      <c r="AS18" s="29"/>
      <c r="AT18" s="29"/>
      <c r="AU18" s="29"/>
    </row>
    <row r="19" spans="1:47">
      <c r="A19" s="1">
        <v>50</v>
      </c>
      <c r="B19" s="1" t="s">
        <v>50</v>
      </c>
      <c r="C19" s="2">
        <v>34.396999999999998</v>
      </c>
      <c r="D19" s="2">
        <v>25.166</v>
      </c>
      <c r="E19" s="8" t="s">
        <v>366</v>
      </c>
      <c r="F19" s="8" t="s">
        <v>203</v>
      </c>
      <c r="G19" s="1" t="s">
        <v>129</v>
      </c>
      <c r="H19" s="1"/>
      <c r="I19" s="1" t="s">
        <v>344</v>
      </c>
      <c r="J19" s="1">
        <v>2</v>
      </c>
      <c r="K19" s="1" t="str">
        <f>CONCATENATE(I19,J19)</f>
        <v>C2</v>
      </c>
      <c r="L19" s="1" t="s">
        <v>358</v>
      </c>
      <c r="M19" s="1">
        <v>11</v>
      </c>
      <c r="N19">
        <v>18</v>
      </c>
      <c r="O19" s="6" t="s">
        <v>368</v>
      </c>
      <c r="Q19" s="1" t="s">
        <v>50</v>
      </c>
      <c r="R19" s="15" t="s">
        <v>408</v>
      </c>
      <c r="T19" s="2">
        <v>34.396999999999998</v>
      </c>
      <c r="U19" s="2">
        <v>25.166</v>
      </c>
      <c r="V19" s="15" t="s">
        <v>735</v>
      </c>
      <c r="W19" s="18">
        <f>T19-U19</f>
        <v>9.2309999999999981</v>
      </c>
      <c r="X19" s="30"/>
      <c r="Y19" s="30"/>
      <c r="Z19" s="1" t="s">
        <v>129</v>
      </c>
      <c r="AA19" s="15"/>
      <c r="AB19" s="15"/>
      <c r="AC19" s="15"/>
      <c r="AD19" s="15"/>
      <c r="AE19" s="15"/>
      <c r="AF19" s="15"/>
      <c r="AG19" s="29"/>
      <c r="AH19" s="1" t="s">
        <v>129</v>
      </c>
      <c r="AJ19" t="s">
        <v>1049</v>
      </c>
      <c r="AL19" s="1" t="s">
        <v>50</v>
      </c>
      <c r="AM19" s="15" t="s">
        <v>408</v>
      </c>
      <c r="AN19" t="b">
        <f>R19=AM19</f>
        <v>1</v>
      </c>
    </row>
    <row r="20" spans="1:47">
      <c r="A20" s="1">
        <v>98</v>
      </c>
      <c r="B20" s="1" t="s">
        <v>94</v>
      </c>
      <c r="C20" s="2">
        <v>25.233000000000001</v>
      </c>
      <c r="D20" s="2">
        <v>24.651</v>
      </c>
      <c r="E20" s="8" t="s">
        <v>203</v>
      </c>
      <c r="F20" s="8" t="s">
        <v>203</v>
      </c>
      <c r="G20" s="1" t="s">
        <v>203</v>
      </c>
      <c r="H20" s="1"/>
      <c r="I20" s="1" t="s">
        <v>346</v>
      </c>
      <c r="J20" s="1">
        <v>2</v>
      </c>
      <c r="K20" s="1" t="str">
        <f>CONCATENATE(I20,J20)</f>
        <v>E2</v>
      </c>
      <c r="L20" s="1" t="s">
        <v>358</v>
      </c>
      <c r="M20" s="1">
        <v>13</v>
      </c>
      <c r="N20">
        <v>19</v>
      </c>
      <c r="O20" s="6" t="s">
        <v>368</v>
      </c>
      <c r="Q20" s="1" t="s">
        <v>94</v>
      </c>
      <c r="R20" s="15" t="s">
        <v>381</v>
      </c>
      <c r="T20" s="2">
        <v>25.233000000000001</v>
      </c>
      <c r="U20" s="2">
        <v>24.651</v>
      </c>
      <c r="V20" s="15" t="s">
        <v>708</v>
      </c>
      <c r="W20" s="18">
        <f>T20-U20</f>
        <v>0.58200000000000074</v>
      </c>
      <c r="X20" s="30">
        <v>1250.3</v>
      </c>
      <c r="Y20" s="30">
        <f>(X20-450)/3</f>
        <v>266.76666666666665</v>
      </c>
      <c r="Z20" s="1" t="s">
        <v>203</v>
      </c>
      <c r="AA20" s="15"/>
      <c r="AB20" s="15"/>
      <c r="AC20" s="15"/>
      <c r="AD20" s="15"/>
      <c r="AE20" s="15">
        <v>2529</v>
      </c>
      <c r="AF20" s="15"/>
      <c r="AG20" s="29"/>
      <c r="AH20" s="1" t="s">
        <v>86</v>
      </c>
      <c r="AJ20" t="s">
        <v>1049</v>
      </c>
      <c r="AL20" s="1" t="s">
        <v>94</v>
      </c>
      <c r="AM20" s="15" t="s">
        <v>381</v>
      </c>
      <c r="AN20" t="b">
        <f>R20=AM20</f>
        <v>1</v>
      </c>
    </row>
    <row r="21" spans="1:47">
      <c r="A21" s="1">
        <v>146</v>
      </c>
      <c r="B21" s="1" t="s">
        <v>137</v>
      </c>
      <c r="C21" s="2" t="s">
        <v>129</v>
      </c>
      <c r="D21" s="2">
        <v>23.138999999999999</v>
      </c>
      <c r="E21" s="8" t="s">
        <v>129</v>
      </c>
      <c r="F21" s="8" t="s">
        <v>203</v>
      </c>
      <c r="G21" s="1" t="s">
        <v>129</v>
      </c>
      <c r="H21" s="1"/>
      <c r="I21" s="1" t="s">
        <v>348</v>
      </c>
      <c r="J21" s="1">
        <v>2</v>
      </c>
      <c r="K21" s="1" t="str">
        <f>CONCATENATE(I21,J21)</f>
        <v>G2</v>
      </c>
      <c r="L21" s="1" t="s">
        <v>358</v>
      </c>
      <c r="M21" s="1">
        <v>15</v>
      </c>
      <c r="N21">
        <v>20</v>
      </c>
      <c r="O21" s="6" t="s">
        <v>368</v>
      </c>
      <c r="Q21" s="1" t="s">
        <v>137</v>
      </c>
      <c r="R21" s="15" t="s">
        <v>420</v>
      </c>
      <c r="T21" s="2" t="s">
        <v>129</v>
      </c>
      <c r="U21" s="2">
        <v>23.138999999999999</v>
      </c>
      <c r="V21" s="15" t="s">
        <v>747</v>
      </c>
      <c r="W21" s="18" t="e">
        <f>T21-U21</f>
        <v>#VALUE!</v>
      </c>
      <c r="X21" s="30"/>
      <c r="Y21" s="30"/>
      <c r="Z21" s="1" t="s">
        <v>129</v>
      </c>
      <c r="AA21" s="15"/>
      <c r="AB21" s="15"/>
      <c r="AC21" s="15"/>
      <c r="AD21" s="15"/>
      <c r="AE21" s="15"/>
      <c r="AF21" s="15"/>
      <c r="AG21" s="29"/>
      <c r="AH21" s="1" t="s">
        <v>86</v>
      </c>
      <c r="AJ21" t="s">
        <v>1049</v>
      </c>
      <c r="AL21" s="1" t="s">
        <v>137</v>
      </c>
      <c r="AM21" s="15" t="s">
        <v>420</v>
      </c>
      <c r="AN21" t="b">
        <f>R21=AM21</f>
        <v>1</v>
      </c>
    </row>
    <row r="22" spans="1:47">
      <c r="A22" s="1">
        <v>194</v>
      </c>
      <c r="B22" s="1" t="s">
        <v>180</v>
      </c>
      <c r="C22" s="2">
        <v>26.577999999999999</v>
      </c>
      <c r="D22" s="2">
        <v>25.55</v>
      </c>
      <c r="E22" s="8" t="s">
        <v>203</v>
      </c>
      <c r="F22" s="8" t="s">
        <v>203</v>
      </c>
      <c r="G22" s="1" t="s">
        <v>203</v>
      </c>
      <c r="H22" s="1"/>
      <c r="I22" s="1" t="s">
        <v>350</v>
      </c>
      <c r="J22" s="1">
        <v>2</v>
      </c>
      <c r="K22" s="1" t="str">
        <f>CONCATENATE(I22,J22)</f>
        <v>I2</v>
      </c>
      <c r="L22" s="1" t="s">
        <v>359</v>
      </c>
      <c r="M22" s="1">
        <v>105</v>
      </c>
      <c r="N22">
        <v>21</v>
      </c>
      <c r="O22" s="6" t="s">
        <v>368</v>
      </c>
      <c r="Q22" s="1" t="s">
        <v>180</v>
      </c>
      <c r="R22" s="15" t="s">
        <v>382</v>
      </c>
      <c r="T22" s="2">
        <v>26.577999999999999</v>
      </c>
      <c r="U22" s="2">
        <v>25.55</v>
      </c>
      <c r="V22" s="15" t="s">
        <v>709</v>
      </c>
      <c r="W22" s="18">
        <f>T22-U22</f>
        <v>1.0279999999999987</v>
      </c>
      <c r="X22" s="30">
        <v>1284.96</v>
      </c>
      <c r="Y22" s="30">
        <f>(X22-450)/3</f>
        <v>278.32</v>
      </c>
      <c r="Z22" s="1" t="s">
        <v>203</v>
      </c>
      <c r="AA22" s="15"/>
      <c r="AB22" s="15"/>
      <c r="AC22" s="15"/>
      <c r="AD22" s="15"/>
      <c r="AE22" s="15">
        <v>1655</v>
      </c>
      <c r="AF22" s="15"/>
      <c r="AG22" s="29"/>
      <c r="AH22" s="1" t="s">
        <v>42</v>
      </c>
      <c r="AJ22" t="s">
        <v>1049</v>
      </c>
      <c r="AL22" s="1" t="s">
        <v>180</v>
      </c>
      <c r="AM22" s="15" t="s">
        <v>382</v>
      </c>
      <c r="AN22" t="b">
        <f>R22=AM22</f>
        <v>1</v>
      </c>
    </row>
    <row r="23" spans="1:47">
      <c r="A23" s="1">
        <v>242</v>
      </c>
      <c r="B23" s="1" t="s">
        <v>221</v>
      </c>
      <c r="C23" s="2" t="s">
        <v>129</v>
      </c>
      <c r="D23" s="2">
        <v>24.527000000000001</v>
      </c>
      <c r="E23" s="8" t="s">
        <v>129</v>
      </c>
      <c r="F23" s="8" t="s">
        <v>203</v>
      </c>
      <c r="G23" s="1" t="s">
        <v>129</v>
      </c>
      <c r="H23" s="1"/>
      <c r="I23" s="1" t="s">
        <v>352</v>
      </c>
      <c r="J23" s="1">
        <v>2</v>
      </c>
      <c r="K23" s="1" t="str">
        <f>CONCATENATE(I23,J23)</f>
        <v>K2</v>
      </c>
      <c r="L23" s="1" t="s">
        <v>359</v>
      </c>
      <c r="M23" s="1">
        <v>107</v>
      </c>
      <c r="N23">
        <v>22</v>
      </c>
      <c r="O23" s="6" t="s">
        <v>368</v>
      </c>
      <c r="Q23" s="1" t="s">
        <v>221</v>
      </c>
      <c r="R23" s="15" t="s">
        <v>421</v>
      </c>
      <c r="T23" s="2" t="s">
        <v>129</v>
      </c>
      <c r="U23" s="2">
        <v>24.527000000000001</v>
      </c>
      <c r="V23" s="15" t="s">
        <v>748</v>
      </c>
      <c r="W23" s="18" t="e">
        <f>T23-U23</f>
        <v>#VALUE!</v>
      </c>
      <c r="X23" s="30"/>
      <c r="Y23" s="30"/>
      <c r="Z23" s="1" t="s">
        <v>129</v>
      </c>
      <c r="AA23" s="15"/>
      <c r="AB23" s="15"/>
      <c r="AC23" s="15"/>
      <c r="AD23" s="15"/>
      <c r="AE23" s="15"/>
      <c r="AF23" s="15"/>
      <c r="AG23" s="29"/>
      <c r="AH23" s="1" t="s">
        <v>129</v>
      </c>
      <c r="AJ23" t="s">
        <v>1049</v>
      </c>
      <c r="AL23" s="1" t="s">
        <v>221</v>
      </c>
      <c r="AM23" s="15" t="s">
        <v>421</v>
      </c>
      <c r="AN23" t="b">
        <f>R23=AM23</f>
        <v>1</v>
      </c>
    </row>
    <row r="24" spans="1:47">
      <c r="A24" s="1">
        <v>290</v>
      </c>
      <c r="B24" s="1" t="s">
        <v>261</v>
      </c>
      <c r="C24" s="2" t="s">
        <v>129</v>
      </c>
      <c r="D24" s="2">
        <v>25.143999999999998</v>
      </c>
      <c r="E24" s="8" t="s">
        <v>129</v>
      </c>
      <c r="F24" s="8" t="s">
        <v>203</v>
      </c>
      <c r="G24" s="1" t="s">
        <v>129</v>
      </c>
      <c r="H24" s="1"/>
      <c r="I24" s="1" t="s">
        <v>353</v>
      </c>
      <c r="J24" s="1">
        <v>2</v>
      </c>
      <c r="K24" s="1" t="str">
        <f>CONCATENATE(I24,J24)</f>
        <v>M2</v>
      </c>
      <c r="L24" s="1" t="s">
        <v>359</v>
      </c>
      <c r="M24" s="1">
        <v>109</v>
      </c>
      <c r="N24">
        <v>23</v>
      </c>
      <c r="O24" s="6" t="s">
        <v>368</v>
      </c>
      <c r="Q24" s="1" t="s">
        <v>261</v>
      </c>
      <c r="R24" s="15" t="s">
        <v>422</v>
      </c>
      <c r="T24" s="2" t="s">
        <v>129</v>
      </c>
      <c r="U24" s="2">
        <v>25.143999999999998</v>
      </c>
      <c r="V24" s="15" t="s">
        <v>749</v>
      </c>
      <c r="W24" s="18" t="e">
        <f>T24-U24</f>
        <v>#VALUE!</v>
      </c>
      <c r="X24" s="30"/>
      <c r="Y24" s="30"/>
      <c r="Z24" s="1" t="s">
        <v>129</v>
      </c>
      <c r="AA24" s="15"/>
      <c r="AB24" s="15"/>
      <c r="AC24" s="15"/>
      <c r="AD24" s="15"/>
      <c r="AE24" s="15"/>
      <c r="AF24" s="15"/>
      <c r="AG24" s="29"/>
      <c r="AH24" s="1" t="s">
        <v>86</v>
      </c>
      <c r="AJ24" t="s">
        <v>1049</v>
      </c>
      <c r="AL24" s="1" t="s">
        <v>261</v>
      </c>
      <c r="AM24" s="15" t="s">
        <v>422</v>
      </c>
      <c r="AN24" t="b">
        <f>R24=AM24</f>
        <v>1</v>
      </c>
    </row>
    <row r="25" spans="1:47">
      <c r="A25" s="1">
        <v>338</v>
      </c>
      <c r="B25" s="1" t="s">
        <v>300</v>
      </c>
      <c r="C25" s="2">
        <v>25.765000000000001</v>
      </c>
      <c r="D25" s="2">
        <v>24.831</v>
      </c>
      <c r="E25" s="8" t="s">
        <v>203</v>
      </c>
      <c r="F25" s="8" t="s">
        <v>203</v>
      </c>
      <c r="G25" s="1" t="s">
        <v>203</v>
      </c>
      <c r="H25" s="1"/>
      <c r="I25" s="1" t="s">
        <v>354</v>
      </c>
      <c r="J25" s="1">
        <v>2</v>
      </c>
      <c r="K25" s="1" t="str">
        <f>CONCATENATE(I25,J25)</f>
        <v>O2</v>
      </c>
      <c r="L25" s="1" t="s">
        <v>359</v>
      </c>
      <c r="M25" s="1">
        <v>111</v>
      </c>
      <c r="N25">
        <v>24</v>
      </c>
      <c r="O25" s="6" t="s">
        <v>368</v>
      </c>
      <c r="Q25" s="1" t="s">
        <v>300</v>
      </c>
      <c r="R25" s="15" t="s">
        <v>383</v>
      </c>
      <c r="T25" s="2">
        <v>25.765000000000001</v>
      </c>
      <c r="U25" s="2">
        <v>24.831</v>
      </c>
      <c r="V25" s="15" t="s">
        <v>710</v>
      </c>
      <c r="W25" s="18">
        <f>T25-U25</f>
        <v>0.93400000000000105</v>
      </c>
      <c r="X25" s="30">
        <v>1275.79</v>
      </c>
      <c r="Y25" s="30">
        <f>(X25-450)/3</f>
        <v>275.26333333333332</v>
      </c>
      <c r="Z25" s="1" t="s">
        <v>203</v>
      </c>
      <c r="AA25" s="15"/>
      <c r="AB25" s="15"/>
      <c r="AC25" s="15"/>
      <c r="AD25" s="15"/>
      <c r="AE25" s="15">
        <v>1956</v>
      </c>
      <c r="AF25" s="15"/>
      <c r="AG25" s="29"/>
      <c r="AH25" s="1" t="s">
        <v>86</v>
      </c>
      <c r="AJ25" t="s">
        <v>1049</v>
      </c>
      <c r="AL25" s="1" t="s">
        <v>300</v>
      </c>
      <c r="AM25" s="15" t="s">
        <v>383</v>
      </c>
      <c r="AN25" t="b">
        <f>R25=AM25</f>
        <v>1</v>
      </c>
    </row>
    <row r="26" spans="1:47">
      <c r="A26" s="1">
        <v>26</v>
      </c>
      <c r="B26" s="1" t="s">
        <v>28</v>
      </c>
      <c r="C26" s="2" t="s">
        <v>129</v>
      </c>
      <c r="D26" s="2">
        <v>24.824000000000002</v>
      </c>
      <c r="E26" s="8" t="s">
        <v>129</v>
      </c>
      <c r="F26" s="8" t="s">
        <v>203</v>
      </c>
      <c r="G26" s="1" t="s">
        <v>129</v>
      </c>
      <c r="H26" s="1"/>
      <c r="I26" s="1" t="s">
        <v>343</v>
      </c>
      <c r="J26" s="1">
        <v>2</v>
      </c>
      <c r="K26" s="1" t="str">
        <f>CONCATENATE(I26,J26)</f>
        <v>B2</v>
      </c>
      <c r="L26" s="1" t="s">
        <v>358</v>
      </c>
      <c r="M26" s="1">
        <v>10</v>
      </c>
      <c r="N26">
        <v>25</v>
      </c>
      <c r="O26" s="6" t="s">
        <v>368</v>
      </c>
      <c r="Q26" s="1" t="s">
        <v>28</v>
      </c>
      <c r="R26" s="15" t="s">
        <v>423</v>
      </c>
      <c r="T26" s="2" t="s">
        <v>129</v>
      </c>
      <c r="U26" s="2">
        <v>24.824000000000002</v>
      </c>
      <c r="V26" s="15" t="s">
        <v>750</v>
      </c>
      <c r="W26" s="18" t="e">
        <f>T26-U26</f>
        <v>#VALUE!</v>
      </c>
      <c r="X26" s="30"/>
      <c r="Y26" s="30"/>
      <c r="Z26" s="1" t="s">
        <v>129</v>
      </c>
      <c r="AA26" s="15"/>
      <c r="AB26" s="15"/>
      <c r="AC26" s="15"/>
      <c r="AD26" s="15"/>
      <c r="AE26" s="15"/>
      <c r="AF26" s="15"/>
      <c r="AG26" s="29"/>
      <c r="AH26" s="1" t="s">
        <v>129</v>
      </c>
      <c r="AJ26" t="s">
        <v>1049</v>
      </c>
      <c r="AL26" s="1" t="s">
        <v>28</v>
      </c>
      <c r="AM26" s="15" t="s">
        <v>423</v>
      </c>
      <c r="AN26" t="b">
        <f>R26=AM26</f>
        <v>1</v>
      </c>
    </row>
    <row r="27" spans="1:47">
      <c r="A27" s="1">
        <v>74</v>
      </c>
      <c r="B27" s="1" t="s">
        <v>72</v>
      </c>
      <c r="C27" s="2">
        <v>26.768000000000001</v>
      </c>
      <c r="D27" s="2">
        <v>25.663</v>
      </c>
      <c r="E27" s="8" t="s">
        <v>203</v>
      </c>
      <c r="F27" s="8" t="s">
        <v>203</v>
      </c>
      <c r="G27" s="1" t="s">
        <v>203</v>
      </c>
      <c r="H27" s="1"/>
      <c r="I27" s="1" t="s">
        <v>345</v>
      </c>
      <c r="J27" s="1">
        <v>2</v>
      </c>
      <c r="K27" s="1" t="str">
        <f>CONCATENATE(I27,J27)</f>
        <v>D2</v>
      </c>
      <c r="L27" s="1" t="s">
        <v>358</v>
      </c>
      <c r="M27" s="1">
        <v>12</v>
      </c>
      <c r="N27">
        <v>26</v>
      </c>
      <c r="O27" s="6" t="s">
        <v>368</v>
      </c>
      <c r="Q27" s="1" t="s">
        <v>72</v>
      </c>
      <c r="R27" s="15" t="s">
        <v>384</v>
      </c>
      <c r="T27" s="2">
        <v>26.768000000000001</v>
      </c>
      <c r="U27" s="2">
        <v>25.663</v>
      </c>
      <c r="V27" s="15" t="s">
        <v>711</v>
      </c>
      <c r="W27" s="18">
        <f>T27-U27</f>
        <v>1.1050000000000004</v>
      </c>
      <c r="X27" s="30">
        <v>1281.3499999999999</v>
      </c>
      <c r="Y27" s="30">
        <f>(X27-450)/3</f>
        <v>277.11666666666662</v>
      </c>
      <c r="Z27" s="1" t="s">
        <v>203</v>
      </c>
      <c r="AA27" s="15"/>
      <c r="AB27" s="15"/>
      <c r="AC27" s="15"/>
      <c r="AD27" s="15"/>
      <c r="AE27" s="15">
        <v>1539</v>
      </c>
      <c r="AF27" s="15"/>
      <c r="AG27" s="29"/>
      <c r="AH27" s="1" t="s">
        <v>86</v>
      </c>
      <c r="AJ27" t="s">
        <v>1049</v>
      </c>
      <c r="AL27" s="1" t="s">
        <v>72</v>
      </c>
      <c r="AM27" s="15" t="s">
        <v>384</v>
      </c>
      <c r="AN27" t="b">
        <f>R27=AM27</f>
        <v>1</v>
      </c>
    </row>
    <row r="28" spans="1:47">
      <c r="A28" s="1">
        <v>122</v>
      </c>
      <c r="B28" s="1" t="s">
        <v>115</v>
      </c>
      <c r="C28" s="2">
        <v>25.437999999999999</v>
      </c>
      <c r="D28" s="2">
        <v>24.518000000000001</v>
      </c>
      <c r="E28" s="8" t="s">
        <v>203</v>
      </c>
      <c r="F28" s="8" t="s">
        <v>203</v>
      </c>
      <c r="G28" s="1" t="s">
        <v>203</v>
      </c>
      <c r="H28" s="1"/>
      <c r="I28" s="1" t="s">
        <v>347</v>
      </c>
      <c r="J28" s="1">
        <v>2</v>
      </c>
      <c r="K28" s="1" t="str">
        <f>CONCATENATE(I28,J28)</f>
        <v>F2</v>
      </c>
      <c r="L28" s="1" t="s">
        <v>358</v>
      </c>
      <c r="M28" s="1">
        <v>14</v>
      </c>
      <c r="N28">
        <v>27</v>
      </c>
      <c r="O28" s="6" t="s">
        <v>368</v>
      </c>
      <c r="Q28" s="1" t="s">
        <v>115</v>
      </c>
      <c r="R28" s="15" t="s">
        <v>385</v>
      </c>
      <c r="T28" s="2">
        <v>25.437999999999999</v>
      </c>
      <c r="U28" s="2">
        <v>24.518000000000001</v>
      </c>
      <c r="V28" s="15" t="s">
        <v>712</v>
      </c>
      <c r="W28" s="18">
        <f>T28-U28</f>
        <v>0.91999999999999815</v>
      </c>
      <c r="X28" s="30">
        <v>1277.74</v>
      </c>
      <c r="Y28" s="30">
        <f>(X28-450)/3</f>
        <v>275.91333333333336</v>
      </c>
      <c r="Z28" s="1" t="s">
        <v>203</v>
      </c>
      <c r="AA28" s="15"/>
      <c r="AB28" s="15"/>
      <c r="AC28" s="15"/>
      <c r="AD28" s="15"/>
      <c r="AE28" s="15">
        <v>2701</v>
      </c>
      <c r="AF28" s="15"/>
      <c r="AG28" s="29"/>
      <c r="AH28" s="1" t="s">
        <v>42</v>
      </c>
      <c r="AJ28" t="s">
        <v>1049</v>
      </c>
      <c r="AL28" s="1" t="s">
        <v>115</v>
      </c>
      <c r="AM28" s="15" t="s">
        <v>385</v>
      </c>
      <c r="AN28" t="b">
        <f>R28=AM28</f>
        <v>1</v>
      </c>
    </row>
    <row r="29" spans="1:47">
      <c r="A29" s="1">
        <v>170</v>
      </c>
      <c r="B29" s="1" t="s">
        <v>158</v>
      </c>
      <c r="C29" s="2" t="s">
        <v>129</v>
      </c>
      <c r="D29" s="2">
        <v>25.437999999999999</v>
      </c>
      <c r="E29" s="8" t="s">
        <v>129</v>
      </c>
      <c r="F29" s="8" t="s">
        <v>203</v>
      </c>
      <c r="G29" s="1" t="s">
        <v>129</v>
      </c>
      <c r="H29" s="1"/>
      <c r="I29" s="1" t="s">
        <v>349</v>
      </c>
      <c r="J29" s="1">
        <v>2</v>
      </c>
      <c r="K29" s="1" t="str">
        <f>CONCATENATE(I29,J29)</f>
        <v>H2</v>
      </c>
      <c r="L29" s="1" t="s">
        <v>358</v>
      </c>
      <c r="M29" s="1">
        <v>16</v>
      </c>
      <c r="N29">
        <v>28</v>
      </c>
      <c r="O29" s="6" t="s">
        <v>368</v>
      </c>
      <c r="Q29" s="1" t="s">
        <v>158</v>
      </c>
      <c r="R29" s="15" t="s">
        <v>424</v>
      </c>
      <c r="T29" s="2" t="s">
        <v>129</v>
      </c>
      <c r="U29" s="2">
        <v>25.437999999999999</v>
      </c>
      <c r="V29" s="15" t="s">
        <v>751</v>
      </c>
      <c r="W29" s="18" t="e">
        <f>T29-U29</f>
        <v>#VALUE!</v>
      </c>
      <c r="X29" s="30"/>
      <c r="Y29" s="30"/>
      <c r="Z29" s="1" t="s">
        <v>129</v>
      </c>
      <c r="AA29" s="15"/>
      <c r="AB29" s="15"/>
      <c r="AC29" s="15"/>
      <c r="AD29" s="15"/>
      <c r="AE29" s="15"/>
      <c r="AF29" s="15"/>
      <c r="AG29" s="29"/>
      <c r="AH29" s="1" t="s">
        <v>129</v>
      </c>
      <c r="AJ29" t="s">
        <v>1049</v>
      </c>
      <c r="AL29" s="1" t="s">
        <v>158</v>
      </c>
      <c r="AM29" s="15" t="s">
        <v>424</v>
      </c>
      <c r="AN29" t="b">
        <f>R29=AM29</f>
        <v>1</v>
      </c>
    </row>
    <row r="30" spans="1:47">
      <c r="A30" s="1">
        <v>218</v>
      </c>
      <c r="B30" s="1" t="s">
        <v>201</v>
      </c>
      <c r="C30" s="2">
        <v>26.204000000000001</v>
      </c>
      <c r="D30" s="2">
        <v>25.151</v>
      </c>
      <c r="E30" s="8" t="s">
        <v>203</v>
      </c>
      <c r="F30" s="8" t="s">
        <v>203</v>
      </c>
      <c r="G30" s="1" t="s">
        <v>203</v>
      </c>
      <c r="H30" s="1"/>
      <c r="I30" s="1" t="s">
        <v>351</v>
      </c>
      <c r="J30" s="1">
        <v>2</v>
      </c>
      <c r="K30" s="1" t="str">
        <f>CONCATENATE(I30,J30)</f>
        <v>J2</v>
      </c>
      <c r="L30" s="1" t="s">
        <v>359</v>
      </c>
      <c r="M30" s="1">
        <v>106</v>
      </c>
      <c r="N30">
        <v>29</v>
      </c>
      <c r="O30" s="6" t="s">
        <v>368</v>
      </c>
      <c r="Q30" s="1" t="s">
        <v>201</v>
      </c>
      <c r="R30" s="15" t="s">
        <v>386</v>
      </c>
      <c r="T30" s="2">
        <v>26.204000000000001</v>
      </c>
      <c r="U30" s="2">
        <v>25.151</v>
      </c>
      <c r="V30" s="15" t="s">
        <v>713</v>
      </c>
      <c r="W30" s="18">
        <f>T30-U30</f>
        <v>1.0530000000000008</v>
      </c>
      <c r="X30" s="30">
        <v>1288.68</v>
      </c>
      <c r="Y30" s="30">
        <f>(X30-450)/3</f>
        <v>279.56</v>
      </c>
      <c r="Z30" s="1" t="s">
        <v>203</v>
      </c>
      <c r="AA30" s="15"/>
      <c r="AB30" s="15"/>
      <c r="AC30" s="15"/>
      <c r="AD30" s="15"/>
      <c r="AE30" s="15">
        <v>2011</v>
      </c>
      <c r="AF30" s="15"/>
      <c r="AG30" s="29"/>
      <c r="AH30" s="1" t="s">
        <v>86</v>
      </c>
      <c r="AJ30" t="s">
        <v>1049</v>
      </c>
      <c r="AL30" s="1" t="s">
        <v>201</v>
      </c>
      <c r="AM30" s="15" t="s">
        <v>386</v>
      </c>
      <c r="AN30" t="b">
        <f>R30=AM30</f>
        <v>1</v>
      </c>
    </row>
    <row r="31" spans="1:47">
      <c r="A31" s="1">
        <v>266</v>
      </c>
      <c r="B31" s="1" t="s">
        <v>242</v>
      </c>
      <c r="C31" s="2">
        <v>26.084</v>
      </c>
      <c r="D31" s="2">
        <v>25.216000000000001</v>
      </c>
      <c r="E31" s="8" t="s">
        <v>203</v>
      </c>
      <c r="F31" s="8" t="s">
        <v>203</v>
      </c>
      <c r="G31" s="1" t="s">
        <v>203</v>
      </c>
      <c r="H31" s="1"/>
      <c r="I31" s="1" t="s">
        <v>357</v>
      </c>
      <c r="J31" s="1">
        <v>2</v>
      </c>
      <c r="K31" s="1" t="str">
        <f>CONCATENATE(I31,J31)</f>
        <v>L2</v>
      </c>
      <c r="L31" s="1" t="s">
        <v>359</v>
      </c>
      <c r="M31" s="1">
        <v>108</v>
      </c>
      <c r="N31">
        <v>30</v>
      </c>
      <c r="O31" s="6" t="s">
        <v>368</v>
      </c>
      <c r="Q31" s="1" t="s">
        <v>242</v>
      </c>
      <c r="R31" s="15" t="s">
        <v>387</v>
      </c>
      <c r="T31" s="2">
        <v>26.084</v>
      </c>
      <c r="U31" s="2">
        <v>25.216000000000001</v>
      </c>
      <c r="V31" s="15" t="s">
        <v>714</v>
      </c>
      <c r="W31" s="18">
        <f>T31-U31</f>
        <v>0.86799999999999855</v>
      </c>
      <c r="X31" s="30">
        <v>1306.45</v>
      </c>
      <c r="Y31" s="30">
        <f>(X31-450)/3</f>
        <v>285.48333333333335</v>
      </c>
      <c r="Z31" s="1" t="s">
        <v>203</v>
      </c>
      <c r="AA31" s="15"/>
      <c r="AB31" s="15"/>
      <c r="AC31" s="15"/>
      <c r="AD31" s="15"/>
      <c r="AE31" s="15">
        <v>1669</v>
      </c>
      <c r="AF31" s="15"/>
      <c r="AG31" s="29"/>
      <c r="AH31" s="1" t="s">
        <v>86</v>
      </c>
      <c r="AJ31" t="s">
        <v>1049</v>
      </c>
      <c r="AL31" s="1" t="s">
        <v>242</v>
      </c>
      <c r="AM31" s="15" t="s">
        <v>387</v>
      </c>
      <c r="AN31" t="b">
        <f>R31=AM31</f>
        <v>1</v>
      </c>
    </row>
    <row r="32" spans="1:47">
      <c r="A32" s="1">
        <v>314</v>
      </c>
      <c r="B32" s="1" t="s">
        <v>281</v>
      </c>
      <c r="C32" s="2">
        <v>34.448</v>
      </c>
      <c r="D32" s="2">
        <v>25.274000000000001</v>
      </c>
      <c r="E32" s="8" t="s">
        <v>366</v>
      </c>
      <c r="F32" s="8" t="s">
        <v>203</v>
      </c>
      <c r="G32" s="1" t="s">
        <v>129</v>
      </c>
      <c r="H32" s="1"/>
      <c r="I32" s="1" t="s">
        <v>4</v>
      </c>
      <c r="J32" s="1">
        <v>2</v>
      </c>
      <c r="K32" s="1" t="str">
        <f>CONCATENATE(I32,J32)</f>
        <v>N2</v>
      </c>
      <c r="L32" s="1" t="s">
        <v>359</v>
      </c>
      <c r="M32" s="1">
        <v>110</v>
      </c>
      <c r="N32">
        <v>31</v>
      </c>
      <c r="O32" s="6" t="s">
        <v>368</v>
      </c>
      <c r="Q32" s="1" t="s">
        <v>281</v>
      </c>
      <c r="R32" s="15" t="s">
        <v>409</v>
      </c>
      <c r="T32" s="2">
        <v>34.448</v>
      </c>
      <c r="U32" s="2">
        <v>25.274000000000001</v>
      </c>
      <c r="V32" s="15" t="s">
        <v>736</v>
      </c>
      <c r="W32" s="18">
        <f>T32-U32</f>
        <v>9.1739999999999995</v>
      </c>
      <c r="X32" s="30"/>
      <c r="Y32" s="30"/>
      <c r="Z32" s="1" t="s">
        <v>129</v>
      </c>
      <c r="AA32" s="15"/>
      <c r="AB32" s="15"/>
      <c r="AC32" s="15"/>
      <c r="AD32" s="15"/>
      <c r="AE32" s="15"/>
      <c r="AF32" s="15"/>
      <c r="AG32" s="29"/>
      <c r="AH32" s="1" t="s">
        <v>86</v>
      </c>
      <c r="AJ32" t="s">
        <v>1049</v>
      </c>
      <c r="AL32" s="1" t="s">
        <v>281</v>
      </c>
      <c r="AM32" s="15" t="s">
        <v>409</v>
      </c>
      <c r="AN32" t="b">
        <f>R32=AM32</f>
        <v>1</v>
      </c>
    </row>
    <row r="33" spans="1:54">
      <c r="A33" s="1">
        <v>362</v>
      </c>
      <c r="B33" s="1" t="s">
        <v>320</v>
      </c>
      <c r="C33" s="2">
        <v>26.332999999999998</v>
      </c>
      <c r="D33" s="2">
        <v>25.291</v>
      </c>
      <c r="E33" s="8" t="s">
        <v>203</v>
      </c>
      <c r="F33" s="8" t="s">
        <v>203</v>
      </c>
      <c r="G33" s="1" t="s">
        <v>203</v>
      </c>
      <c r="H33" s="1"/>
      <c r="I33" s="1" t="s">
        <v>355</v>
      </c>
      <c r="J33" s="1">
        <v>2</v>
      </c>
      <c r="K33" s="1" t="str">
        <f>CONCATENATE(I33,J33)</f>
        <v>P2</v>
      </c>
      <c r="L33" s="1" t="s">
        <v>359</v>
      </c>
      <c r="M33" s="1">
        <v>112</v>
      </c>
      <c r="N33">
        <v>32</v>
      </c>
      <c r="O33" s="6" t="s">
        <v>368</v>
      </c>
      <c r="Q33" s="1" t="s">
        <v>320</v>
      </c>
      <c r="R33" s="15" t="s">
        <v>388</v>
      </c>
      <c r="T33" s="2">
        <v>26.332999999999998</v>
      </c>
      <c r="U33" s="2">
        <v>25.291</v>
      </c>
      <c r="V33" s="15" t="s">
        <v>715</v>
      </c>
      <c r="W33" s="18">
        <f>T33-U33</f>
        <v>1.041999999999998</v>
      </c>
      <c r="X33" s="30">
        <v>1280.8900000000001</v>
      </c>
      <c r="Y33" s="30">
        <f>(X33-450)/3</f>
        <v>276.96333333333337</v>
      </c>
      <c r="Z33" s="1" t="s">
        <v>203</v>
      </c>
      <c r="AA33" s="15"/>
      <c r="AB33" s="15"/>
      <c r="AC33" s="15"/>
      <c r="AD33" s="15"/>
      <c r="AE33" s="15">
        <v>2087</v>
      </c>
      <c r="AF33" s="15"/>
      <c r="AG33" s="29"/>
      <c r="AH33" s="1" t="s">
        <v>42</v>
      </c>
      <c r="AJ33" t="s">
        <v>1049</v>
      </c>
      <c r="AL33" s="1" t="s">
        <v>320</v>
      </c>
      <c r="AM33" s="15" t="s">
        <v>388</v>
      </c>
      <c r="AN33" t="b">
        <f>R33=AM33</f>
        <v>1</v>
      </c>
    </row>
    <row r="34" spans="1:54">
      <c r="A34" s="1">
        <v>3</v>
      </c>
      <c r="B34" s="1" t="s">
        <v>7</v>
      </c>
      <c r="C34" s="2">
        <v>35.47</v>
      </c>
      <c r="D34" s="2">
        <v>24.672999999999998</v>
      </c>
      <c r="E34" s="8" t="s">
        <v>366</v>
      </c>
      <c r="F34" s="8" t="s">
        <v>203</v>
      </c>
      <c r="G34" s="1" t="s">
        <v>129</v>
      </c>
      <c r="H34" s="1"/>
      <c r="I34" s="1" t="s">
        <v>342</v>
      </c>
      <c r="J34" s="1">
        <v>3</v>
      </c>
      <c r="K34" s="1" t="str">
        <f>CONCATENATE(I34,J34)</f>
        <v>A3</v>
      </c>
      <c r="L34" s="1" t="s">
        <v>358</v>
      </c>
      <c r="M34" s="1">
        <v>17</v>
      </c>
      <c r="N34">
        <v>33</v>
      </c>
      <c r="O34" s="6" t="s">
        <v>368</v>
      </c>
      <c r="Q34" s="1" t="s">
        <v>7</v>
      </c>
      <c r="R34" s="15" t="s">
        <v>410</v>
      </c>
      <c r="T34" s="2">
        <v>35.47</v>
      </c>
      <c r="U34" s="2">
        <v>24.672999999999998</v>
      </c>
      <c r="V34" s="15" t="s">
        <v>737</v>
      </c>
      <c r="W34" s="18">
        <f>T34-U34</f>
        <v>10.797000000000001</v>
      </c>
      <c r="X34" s="30"/>
      <c r="Y34" s="30"/>
      <c r="Z34" s="1" t="s">
        <v>129</v>
      </c>
      <c r="AA34" s="15"/>
      <c r="AB34" s="15"/>
      <c r="AC34" s="15"/>
      <c r="AD34" s="15"/>
      <c r="AE34" s="15"/>
      <c r="AF34" s="15"/>
      <c r="AG34" s="29"/>
      <c r="AH34" s="1" t="s">
        <v>86</v>
      </c>
      <c r="AJ34" t="s">
        <v>1049</v>
      </c>
      <c r="AL34" s="1" t="s">
        <v>7</v>
      </c>
      <c r="AM34" s="15" t="s">
        <v>410</v>
      </c>
      <c r="AN34" t="b">
        <f>R34=AM34</f>
        <v>1</v>
      </c>
    </row>
    <row r="35" spans="1:54">
      <c r="A35" s="1">
        <v>51</v>
      </c>
      <c r="B35" s="1" t="s">
        <v>51</v>
      </c>
      <c r="C35" s="2" t="s">
        <v>129</v>
      </c>
      <c r="D35" s="2">
        <v>24.571999999999999</v>
      </c>
      <c r="E35" s="8" t="s">
        <v>129</v>
      </c>
      <c r="F35" s="8" t="s">
        <v>203</v>
      </c>
      <c r="G35" s="1" t="s">
        <v>129</v>
      </c>
      <c r="H35" s="1"/>
      <c r="I35" s="1" t="s">
        <v>344</v>
      </c>
      <c r="J35" s="1">
        <v>3</v>
      </c>
      <c r="K35" s="1" t="str">
        <f>CONCATENATE(I35,J35)</f>
        <v>C3</v>
      </c>
      <c r="L35" s="1" t="s">
        <v>358</v>
      </c>
      <c r="M35" s="1">
        <v>19</v>
      </c>
      <c r="N35">
        <v>34</v>
      </c>
      <c r="O35" s="6" t="s">
        <v>368</v>
      </c>
      <c r="Q35" s="1" t="s">
        <v>51</v>
      </c>
      <c r="R35" s="15" t="s">
        <v>425</v>
      </c>
      <c r="T35" s="2" t="s">
        <v>129</v>
      </c>
      <c r="U35" s="2">
        <v>24.571999999999999</v>
      </c>
      <c r="V35" s="15" t="s">
        <v>752</v>
      </c>
      <c r="W35" s="18" t="e">
        <f>T35-U35</f>
        <v>#VALUE!</v>
      </c>
      <c r="X35" s="30"/>
      <c r="Y35" s="30"/>
      <c r="Z35" s="1" t="s">
        <v>129</v>
      </c>
      <c r="AA35" s="15"/>
      <c r="AB35" s="15"/>
      <c r="AC35" s="15"/>
      <c r="AD35" s="15"/>
      <c r="AE35" s="15"/>
      <c r="AF35" s="15"/>
      <c r="AG35" s="29"/>
      <c r="AH35" s="1" t="s">
        <v>86</v>
      </c>
      <c r="AJ35" t="s">
        <v>1049</v>
      </c>
      <c r="AL35" s="1" t="s">
        <v>51</v>
      </c>
      <c r="AM35" s="15" t="s">
        <v>425</v>
      </c>
      <c r="AN35" t="b">
        <f>R35=AM35</f>
        <v>1</v>
      </c>
    </row>
    <row r="36" spans="1:54">
      <c r="A36" s="1">
        <v>99</v>
      </c>
      <c r="B36" s="1" t="s">
        <v>95</v>
      </c>
      <c r="C36" s="2">
        <v>26.646999999999998</v>
      </c>
      <c r="D36" s="2">
        <v>25.504000000000001</v>
      </c>
      <c r="E36" s="8" t="s">
        <v>203</v>
      </c>
      <c r="F36" s="8" t="s">
        <v>203</v>
      </c>
      <c r="G36" s="1" t="s">
        <v>203</v>
      </c>
      <c r="H36" s="1"/>
      <c r="I36" s="1" t="s">
        <v>346</v>
      </c>
      <c r="J36" s="1">
        <v>3</v>
      </c>
      <c r="K36" s="1" t="str">
        <f>CONCATENATE(I36,J36)</f>
        <v>E3</v>
      </c>
      <c r="L36" s="1" t="s">
        <v>358</v>
      </c>
      <c r="M36" s="1">
        <v>21</v>
      </c>
      <c r="N36">
        <v>35</v>
      </c>
      <c r="O36" s="6" t="s">
        <v>368</v>
      </c>
      <c r="Q36" s="1" t="s">
        <v>95</v>
      </c>
      <c r="R36" s="15" t="s">
        <v>389</v>
      </c>
      <c r="T36" s="2">
        <v>26.646999999999998</v>
      </c>
      <c r="U36" s="2">
        <v>25.504000000000001</v>
      </c>
      <c r="V36" s="15" t="s">
        <v>716</v>
      </c>
      <c r="W36" s="18">
        <f>T36-U36</f>
        <v>1.1429999999999971</v>
      </c>
      <c r="X36" s="30">
        <v>1259.46</v>
      </c>
      <c r="Y36" s="30">
        <f>(X36-450)/3</f>
        <v>269.82</v>
      </c>
      <c r="Z36" s="1" t="s">
        <v>203</v>
      </c>
      <c r="AA36" s="15"/>
      <c r="AB36" s="15"/>
      <c r="AC36" s="15"/>
      <c r="AD36" s="15"/>
      <c r="AE36" s="15">
        <v>2231</v>
      </c>
      <c r="AF36" s="15"/>
      <c r="AG36" s="29"/>
      <c r="AH36" s="1" t="s">
        <v>86</v>
      </c>
      <c r="AJ36" t="s">
        <v>1049</v>
      </c>
      <c r="AL36" s="1" t="s">
        <v>95</v>
      </c>
      <c r="AM36" s="15" t="s">
        <v>389</v>
      </c>
      <c r="AN36" t="b">
        <f>R36=AM36</f>
        <v>1</v>
      </c>
    </row>
    <row r="37" spans="1:54">
      <c r="A37" s="1">
        <v>147</v>
      </c>
      <c r="B37" s="1" t="s">
        <v>138</v>
      </c>
      <c r="C37" s="2">
        <v>26.594000000000001</v>
      </c>
      <c r="D37" s="2">
        <v>25.44</v>
      </c>
      <c r="E37" s="8" t="s">
        <v>203</v>
      </c>
      <c r="F37" s="8" t="s">
        <v>203</v>
      </c>
      <c r="G37" s="1" t="s">
        <v>203</v>
      </c>
      <c r="H37" s="1"/>
      <c r="I37" s="1" t="s">
        <v>348</v>
      </c>
      <c r="J37" s="1">
        <v>3</v>
      </c>
      <c r="K37" s="1" t="str">
        <f>CONCATENATE(I37,J37)</f>
        <v>G3</v>
      </c>
      <c r="L37" s="1" t="s">
        <v>358</v>
      </c>
      <c r="M37" s="1">
        <v>23</v>
      </c>
      <c r="N37">
        <v>36</v>
      </c>
      <c r="O37" s="6" t="s">
        <v>368</v>
      </c>
      <c r="Q37" s="1" t="s">
        <v>138</v>
      </c>
      <c r="R37" s="15" t="s">
        <v>390</v>
      </c>
      <c r="T37" s="2">
        <v>26.594000000000001</v>
      </c>
      <c r="U37" s="2">
        <v>25.44</v>
      </c>
      <c r="V37" s="15" t="s">
        <v>717</v>
      </c>
      <c r="W37" s="18">
        <f>T37-U37</f>
        <v>1.1539999999999999</v>
      </c>
      <c r="X37" s="30">
        <v>1247.9100000000001</v>
      </c>
      <c r="Y37" s="30">
        <f>(X37-450)/3</f>
        <v>265.97000000000003</v>
      </c>
      <c r="Z37" s="1" t="s">
        <v>203</v>
      </c>
      <c r="AA37" s="15"/>
      <c r="AB37" s="15"/>
      <c r="AC37" s="15"/>
      <c r="AD37" s="15"/>
      <c r="AE37" s="15">
        <v>1613</v>
      </c>
      <c r="AF37" s="15"/>
      <c r="AG37" s="29"/>
      <c r="AH37" s="1" t="s">
        <v>86</v>
      </c>
      <c r="AJ37" t="s">
        <v>1049</v>
      </c>
      <c r="AL37" s="1" t="s">
        <v>138</v>
      </c>
      <c r="AM37" s="15" t="s">
        <v>390</v>
      </c>
      <c r="AN37" t="b">
        <f>R37=AM37</f>
        <v>1</v>
      </c>
    </row>
    <row r="38" spans="1:54">
      <c r="A38" s="1">
        <v>195</v>
      </c>
      <c r="B38" s="1" t="s">
        <v>181</v>
      </c>
      <c r="C38" s="2">
        <v>25.692</v>
      </c>
      <c r="D38" s="2">
        <v>24.774000000000001</v>
      </c>
      <c r="E38" s="8" t="s">
        <v>203</v>
      </c>
      <c r="F38" s="8" t="s">
        <v>203</v>
      </c>
      <c r="G38" s="1" t="s">
        <v>203</v>
      </c>
      <c r="H38" s="1"/>
      <c r="I38" s="1" t="s">
        <v>350</v>
      </c>
      <c r="J38" s="1">
        <v>3</v>
      </c>
      <c r="K38" s="1" t="str">
        <f>CONCATENATE(I38,J38)</f>
        <v>I3</v>
      </c>
      <c r="L38" s="1" t="s">
        <v>359</v>
      </c>
      <c r="M38" s="1">
        <v>113</v>
      </c>
      <c r="N38">
        <v>37</v>
      </c>
      <c r="O38" s="6" t="s">
        <v>368</v>
      </c>
      <c r="Q38" s="1" t="s">
        <v>181</v>
      </c>
      <c r="R38" s="15" t="s">
        <v>391</v>
      </c>
      <c r="T38" s="2">
        <v>25.692</v>
      </c>
      <c r="U38" s="2">
        <v>24.774000000000001</v>
      </c>
      <c r="V38" s="15" t="s">
        <v>718</v>
      </c>
      <c r="W38" s="18">
        <f>T38-U38</f>
        <v>0.91799999999999926</v>
      </c>
      <c r="X38" s="30">
        <v>1300.54</v>
      </c>
      <c r="Y38" s="30">
        <f>(X38-450)/3</f>
        <v>283.51333333333332</v>
      </c>
      <c r="Z38" s="1" t="s">
        <v>203</v>
      </c>
      <c r="AA38" s="15"/>
      <c r="AB38" s="15"/>
      <c r="AC38" s="15"/>
      <c r="AD38" s="15"/>
      <c r="AE38" s="15">
        <v>1886</v>
      </c>
      <c r="AF38" s="15"/>
      <c r="AG38" s="29"/>
      <c r="AH38" s="1" t="s">
        <v>42</v>
      </c>
      <c r="AJ38" t="s">
        <v>1049</v>
      </c>
      <c r="AL38" s="1" t="s">
        <v>181</v>
      </c>
      <c r="AM38" s="15" t="s">
        <v>391</v>
      </c>
      <c r="AN38" t="b">
        <f>R38=AM38</f>
        <v>1</v>
      </c>
    </row>
    <row r="39" spans="1:54">
      <c r="A39" s="1">
        <v>243</v>
      </c>
      <c r="B39" s="1" t="s">
        <v>222</v>
      </c>
      <c r="C39" s="2">
        <v>34.493000000000002</v>
      </c>
      <c r="D39" s="2">
        <v>25.462</v>
      </c>
      <c r="E39" s="8" t="s">
        <v>366</v>
      </c>
      <c r="F39" s="8" t="s">
        <v>203</v>
      </c>
      <c r="G39" s="1" t="s">
        <v>129</v>
      </c>
      <c r="H39" s="1"/>
      <c r="I39" s="1" t="s">
        <v>352</v>
      </c>
      <c r="J39" s="1">
        <v>3</v>
      </c>
      <c r="K39" s="1" t="str">
        <f>CONCATENATE(I39,J39)</f>
        <v>K3</v>
      </c>
      <c r="L39" s="1" t="s">
        <v>359</v>
      </c>
      <c r="M39" s="1">
        <v>115</v>
      </c>
      <c r="N39">
        <v>38</v>
      </c>
      <c r="O39" s="6" t="s">
        <v>368</v>
      </c>
      <c r="Q39" s="1" t="s">
        <v>222</v>
      </c>
      <c r="R39" s="15" t="s">
        <v>411</v>
      </c>
      <c r="T39" s="2">
        <v>34.493000000000002</v>
      </c>
      <c r="U39" s="2">
        <v>25.462</v>
      </c>
      <c r="V39" s="15" t="s">
        <v>738</v>
      </c>
      <c r="W39" s="18">
        <f>T39-U39</f>
        <v>9.0310000000000024</v>
      </c>
      <c r="X39" s="30"/>
      <c r="Y39" s="30"/>
      <c r="Z39" s="1" t="s">
        <v>129</v>
      </c>
      <c r="AA39" s="15"/>
      <c r="AB39" s="15"/>
      <c r="AC39" s="15"/>
      <c r="AD39" s="15"/>
      <c r="AE39" s="15"/>
      <c r="AF39" s="15"/>
      <c r="AG39" s="29"/>
      <c r="AH39" s="1" t="s">
        <v>86</v>
      </c>
      <c r="AJ39" t="s">
        <v>1049</v>
      </c>
      <c r="AL39" s="1" t="s">
        <v>222</v>
      </c>
      <c r="AM39" s="15" t="s">
        <v>411</v>
      </c>
      <c r="AN39" t="b">
        <f>R39=AM39</f>
        <v>1</v>
      </c>
    </row>
    <row r="40" spans="1:54">
      <c r="A40" s="1">
        <v>291</v>
      </c>
      <c r="B40" s="1" t="s">
        <v>262</v>
      </c>
      <c r="C40" s="2">
        <v>25.952999999999999</v>
      </c>
      <c r="D40" s="2">
        <v>24.963999999999999</v>
      </c>
      <c r="E40" s="8" t="s">
        <v>203</v>
      </c>
      <c r="F40" s="8" t="s">
        <v>203</v>
      </c>
      <c r="G40" s="1" t="s">
        <v>203</v>
      </c>
      <c r="H40" s="1"/>
      <c r="I40" s="1" t="s">
        <v>353</v>
      </c>
      <c r="J40" s="1">
        <v>3</v>
      </c>
      <c r="K40" s="1" t="str">
        <f>CONCATENATE(I40,J40)</f>
        <v>M3</v>
      </c>
      <c r="L40" s="1" t="s">
        <v>359</v>
      </c>
      <c r="M40" s="1">
        <v>117</v>
      </c>
      <c r="N40">
        <v>39</v>
      </c>
      <c r="O40" s="6" t="s">
        <v>368</v>
      </c>
      <c r="Q40" s="1" t="s">
        <v>262</v>
      </c>
      <c r="R40" s="15" t="s">
        <v>392</v>
      </c>
      <c r="T40" s="2">
        <v>25.952999999999999</v>
      </c>
      <c r="U40" s="2">
        <v>24.963999999999999</v>
      </c>
      <c r="V40" s="15" t="s">
        <v>719</v>
      </c>
      <c r="W40" s="18">
        <f>T40-U40</f>
        <v>0.98900000000000077</v>
      </c>
      <c r="X40" s="30">
        <v>1270.52</v>
      </c>
      <c r="Y40" s="30">
        <f>(X40-450)/3</f>
        <v>273.50666666666666</v>
      </c>
      <c r="Z40" s="1" t="s">
        <v>203</v>
      </c>
      <c r="AA40" s="15"/>
      <c r="AB40" s="15"/>
      <c r="AC40" s="15"/>
      <c r="AD40" s="15"/>
      <c r="AE40" s="15">
        <v>2096</v>
      </c>
      <c r="AF40" s="15"/>
      <c r="AG40" s="29"/>
      <c r="AH40" s="1" t="s">
        <v>129</v>
      </c>
      <c r="AJ40" t="s">
        <v>1049</v>
      </c>
      <c r="AL40" s="1" t="s">
        <v>262</v>
      </c>
      <c r="AM40" s="15" t="s">
        <v>392</v>
      </c>
      <c r="AN40" t="b">
        <f>R40=AM40</f>
        <v>1</v>
      </c>
    </row>
    <row r="41" spans="1:54">
      <c r="A41" s="1">
        <v>339</v>
      </c>
      <c r="B41" s="1" t="s">
        <v>301</v>
      </c>
      <c r="C41" s="2">
        <v>25.686</v>
      </c>
      <c r="D41" s="2">
        <v>24.704999999999998</v>
      </c>
      <c r="E41" s="8" t="s">
        <v>203</v>
      </c>
      <c r="F41" s="8" t="s">
        <v>203</v>
      </c>
      <c r="G41" s="1" t="s">
        <v>203</v>
      </c>
      <c r="H41" s="1"/>
      <c r="I41" s="1" t="s">
        <v>354</v>
      </c>
      <c r="J41" s="1">
        <v>3</v>
      </c>
      <c r="K41" s="1" t="str">
        <f>CONCATENATE(I41,J41)</f>
        <v>O3</v>
      </c>
      <c r="L41" s="1" t="s">
        <v>359</v>
      </c>
      <c r="M41" s="1">
        <v>119</v>
      </c>
      <c r="N41">
        <v>40</v>
      </c>
      <c r="O41" s="6" t="s">
        <v>368</v>
      </c>
      <c r="Q41" s="1" t="s">
        <v>301</v>
      </c>
      <c r="R41" s="15" t="s">
        <v>393</v>
      </c>
      <c r="T41" s="2">
        <v>25.686</v>
      </c>
      <c r="U41" s="2">
        <v>24.704999999999998</v>
      </c>
      <c r="V41" s="15" t="s">
        <v>720</v>
      </c>
      <c r="W41" s="18">
        <f>T41-U41</f>
        <v>0.98100000000000165</v>
      </c>
      <c r="X41" s="30">
        <v>1261.7</v>
      </c>
      <c r="Y41" s="30">
        <f>(X41-450)/3</f>
        <v>270.56666666666666</v>
      </c>
      <c r="Z41" s="1" t="s">
        <v>203</v>
      </c>
      <c r="AA41" s="15"/>
      <c r="AB41" s="15"/>
      <c r="AC41" s="15"/>
      <c r="AD41" s="15"/>
      <c r="AE41" s="15">
        <v>3503</v>
      </c>
      <c r="AF41" s="15"/>
      <c r="AG41" s="29"/>
      <c r="AH41" s="1" t="s">
        <v>86</v>
      </c>
      <c r="AJ41" t="s">
        <v>1049</v>
      </c>
      <c r="AL41" s="1" t="s">
        <v>301</v>
      </c>
      <c r="AM41" s="15" t="s">
        <v>393</v>
      </c>
      <c r="AN41" t="b">
        <f>R41=AM41</f>
        <v>1</v>
      </c>
    </row>
    <row r="42" spans="1:54">
      <c r="A42" s="1">
        <v>27</v>
      </c>
      <c r="B42" s="1" t="s">
        <v>29</v>
      </c>
      <c r="C42" s="2">
        <v>25.707000000000001</v>
      </c>
      <c r="D42" s="2">
        <v>24.87</v>
      </c>
      <c r="E42" s="8" t="s">
        <v>203</v>
      </c>
      <c r="F42" s="8" t="s">
        <v>203</v>
      </c>
      <c r="G42" s="1" t="s">
        <v>203</v>
      </c>
      <c r="H42" s="1"/>
      <c r="I42" s="1" t="s">
        <v>343</v>
      </c>
      <c r="J42" s="1">
        <v>3</v>
      </c>
      <c r="K42" s="1" t="str">
        <f>CONCATENATE(I42,J42)</f>
        <v>B3</v>
      </c>
      <c r="L42" s="1" t="s">
        <v>358</v>
      </c>
      <c r="M42" s="1">
        <v>18</v>
      </c>
      <c r="N42">
        <v>41</v>
      </c>
      <c r="O42" s="6" t="s">
        <v>368</v>
      </c>
      <c r="Q42" s="21" t="s">
        <v>29</v>
      </c>
      <c r="R42" s="15" t="s">
        <v>394</v>
      </c>
      <c r="T42" s="22">
        <v>25.707000000000001</v>
      </c>
      <c r="U42" s="22">
        <v>24.87</v>
      </c>
      <c r="V42" s="23" t="s">
        <v>721</v>
      </c>
      <c r="W42" s="24">
        <f>T42-U42</f>
        <v>0.83699999999999974</v>
      </c>
      <c r="X42" s="31">
        <v>1286.96</v>
      </c>
      <c r="Y42" s="30">
        <f>(X42-450)/3</f>
        <v>278.98666666666668</v>
      </c>
      <c r="Z42" s="26" t="s">
        <v>203</v>
      </c>
      <c r="AA42" s="23"/>
      <c r="AB42" s="23"/>
      <c r="AC42" s="23"/>
      <c r="AD42" s="23"/>
      <c r="AE42" s="23"/>
      <c r="AF42" s="23">
        <v>1</v>
      </c>
      <c r="AG42" s="33"/>
      <c r="AH42" s="1" t="s">
        <v>42</v>
      </c>
      <c r="AJ42" t="s">
        <v>1049</v>
      </c>
      <c r="AL42" s="1" t="s">
        <v>29</v>
      </c>
      <c r="AM42" s="15" t="s">
        <v>394</v>
      </c>
      <c r="AN42" t="b">
        <f>R42=AM42</f>
        <v>1</v>
      </c>
      <c r="AP42" s="27" t="s">
        <v>29</v>
      </c>
      <c r="AQ42" s="28">
        <v>26.5776</v>
      </c>
      <c r="AR42" s="28">
        <v>24.842300000000002</v>
      </c>
      <c r="AS42" s="28" t="s">
        <v>203</v>
      </c>
      <c r="AT42" s="28" t="s">
        <v>203</v>
      </c>
      <c r="AU42" s="28" t="s">
        <v>203</v>
      </c>
      <c r="AW42" t="s">
        <v>1039</v>
      </c>
      <c r="AX42" t="s">
        <v>1040</v>
      </c>
      <c r="AY42" t="s">
        <v>343</v>
      </c>
      <c r="AZ42">
        <v>1286.96</v>
      </c>
      <c r="BA42">
        <v>1833</v>
      </c>
      <c r="BB42">
        <v>177633</v>
      </c>
    </row>
    <row r="43" spans="1:54">
      <c r="A43" s="1">
        <v>75</v>
      </c>
      <c r="B43" s="1" t="s">
        <v>73</v>
      </c>
      <c r="C43" s="2">
        <v>25.544</v>
      </c>
      <c r="D43" s="2">
        <v>24.695</v>
      </c>
      <c r="E43" s="8" t="s">
        <v>203</v>
      </c>
      <c r="F43" s="8" t="s">
        <v>203</v>
      </c>
      <c r="G43" s="1" t="s">
        <v>203</v>
      </c>
      <c r="H43" s="1"/>
      <c r="I43" s="1" t="s">
        <v>345</v>
      </c>
      <c r="J43" s="1">
        <v>3</v>
      </c>
      <c r="K43" s="1" t="str">
        <f>CONCATENATE(I43,J43)</f>
        <v>D3</v>
      </c>
      <c r="L43" s="1" t="s">
        <v>358</v>
      </c>
      <c r="M43" s="1">
        <v>20</v>
      </c>
      <c r="N43">
        <v>42</v>
      </c>
      <c r="O43" s="6" t="s">
        <v>368</v>
      </c>
      <c r="Q43" s="1" t="s">
        <v>73</v>
      </c>
      <c r="R43" s="15" t="s">
        <v>395</v>
      </c>
      <c r="T43" s="2">
        <v>25.544</v>
      </c>
      <c r="U43" s="2">
        <v>24.695</v>
      </c>
      <c r="V43" s="15" t="s">
        <v>722</v>
      </c>
      <c r="W43" s="18">
        <f>T43-U43</f>
        <v>0.8490000000000002</v>
      </c>
      <c r="X43" s="30">
        <v>1257.5</v>
      </c>
      <c r="Y43" s="30">
        <f>(X43-450)/3</f>
        <v>269.16666666666669</v>
      </c>
      <c r="Z43" s="1" t="s">
        <v>203</v>
      </c>
      <c r="AA43" s="15"/>
      <c r="AB43" s="15"/>
      <c r="AC43" s="15"/>
      <c r="AD43" s="15"/>
      <c r="AE43" s="15">
        <v>2810</v>
      </c>
      <c r="AF43" s="15"/>
      <c r="AG43" s="29"/>
      <c r="AH43" s="1" t="s">
        <v>86</v>
      </c>
      <c r="AJ43" t="s">
        <v>1049</v>
      </c>
      <c r="AL43" s="1" t="s">
        <v>73</v>
      </c>
      <c r="AM43" s="15" t="s">
        <v>395</v>
      </c>
      <c r="AN43" t="b">
        <f>R43=AM43</f>
        <v>1</v>
      </c>
    </row>
    <row r="44" spans="1:54">
      <c r="A44" s="1">
        <v>123</v>
      </c>
      <c r="B44" s="1" t="s">
        <v>116</v>
      </c>
      <c r="C44" s="2">
        <v>24.916</v>
      </c>
      <c r="D44" s="2">
        <v>24.257000000000001</v>
      </c>
      <c r="E44" s="8" t="s">
        <v>203</v>
      </c>
      <c r="F44" s="8" t="s">
        <v>203</v>
      </c>
      <c r="G44" s="1" t="s">
        <v>203</v>
      </c>
      <c r="H44" s="1"/>
      <c r="I44" s="1" t="s">
        <v>347</v>
      </c>
      <c r="J44" s="1">
        <v>3</v>
      </c>
      <c r="K44" s="1" t="str">
        <f>CONCATENATE(I44,J44)</f>
        <v>F3</v>
      </c>
      <c r="L44" s="1" t="s">
        <v>358</v>
      </c>
      <c r="M44" s="1">
        <v>22</v>
      </c>
      <c r="N44">
        <v>43</v>
      </c>
      <c r="O44" s="6" t="s">
        <v>368</v>
      </c>
      <c r="Q44" s="1" t="s">
        <v>116</v>
      </c>
      <c r="R44" s="15" t="s">
        <v>396</v>
      </c>
      <c r="T44" s="2">
        <v>24.916</v>
      </c>
      <c r="U44" s="2">
        <v>24.257000000000001</v>
      </c>
      <c r="V44" s="15" t="s">
        <v>723</v>
      </c>
      <c r="W44" s="18">
        <f>T44-U44</f>
        <v>0.65899999999999892</v>
      </c>
      <c r="X44" s="30">
        <v>1278.93</v>
      </c>
      <c r="Y44" s="30">
        <f>(X44-450)/3</f>
        <v>276.31</v>
      </c>
      <c r="Z44" s="1" t="s">
        <v>203</v>
      </c>
      <c r="AA44" s="15"/>
      <c r="AB44" s="15"/>
      <c r="AC44" s="15"/>
      <c r="AD44" s="15"/>
      <c r="AE44" s="15">
        <v>1591</v>
      </c>
      <c r="AF44" s="15"/>
      <c r="AG44" s="29"/>
      <c r="AH44" s="1" t="s">
        <v>86</v>
      </c>
      <c r="AJ44" t="s">
        <v>1049</v>
      </c>
      <c r="AL44" s="1" t="s">
        <v>116</v>
      </c>
      <c r="AM44" s="15" t="s">
        <v>396</v>
      </c>
      <c r="AN44" t="b">
        <f>R44=AM44</f>
        <v>1</v>
      </c>
    </row>
    <row r="45" spans="1:54">
      <c r="A45" s="1">
        <v>171</v>
      </c>
      <c r="B45" s="1" t="s">
        <v>159</v>
      </c>
      <c r="C45" s="2">
        <v>26.632000000000001</v>
      </c>
      <c r="D45" s="2">
        <v>25.407</v>
      </c>
      <c r="E45" s="8" t="s">
        <v>203</v>
      </c>
      <c r="F45" s="8" t="s">
        <v>203</v>
      </c>
      <c r="G45" s="1" t="s">
        <v>203</v>
      </c>
      <c r="H45" s="1"/>
      <c r="I45" s="1" t="s">
        <v>349</v>
      </c>
      <c r="J45" s="1">
        <v>3</v>
      </c>
      <c r="K45" s="1" t="str">
        <f>CONCATENATE(I45,J45)</f>
        <v>H3</v>
      </c>
      <c r="L45" s="1" t="s">
        <v>358</v>
      </c>
      <c r="M45" s="1">
        <v>24</v>
      </c>
      <c r="N45">
        <v>44</v>
      </c>
      <c r="O45" s="6" t="s">
        <v>368</v>
      </c>
      <c r="Q45" s="1" t="s">
        <v>159</v>
      </c>
      <c r="R45" s="15" t="s">
        <v>397</v>
      </c>
      <c r="T45" s="2">
        <v>26.632000000000001</v>
      </c>
      <c r="U45" s="2">
        <v>25.407</v>
      </c>
      <c r="V45" s="15" t="s">
        <v>724</v>
      </c>
      <c r="W45" s="18">
        <f>T45-U45</f>
        <v>1.2250000000000014</v>
      </c>
      <c r="X45" s="30">
        <v>1242.73</v>
      </c>
      <c r="Y45" s="30">
        <f>(X45-450)/3</f>
        <v>264.24333333333334</v>
      </c>
      <c r="Z45" s="1" t="s">
        <v>203</v>
      </c>
      <c r="AA45" s="15"/>
      <c r="AB45" s="15"/>
      <c r="AC45" s="15"/>
      <c r="AD45" s="15"/>
      <c r="AE45" s="15">
        <v>1797</v>
      </c>
      <c r="AF45" s="15"/>
      <c r="AG45" s="29"/>
      <c r="AH45" s="1" t="s">
        <v>129</v>
      </c>
      <c r="AJ45" t="s">
        <v>1049</v>
      </c>
      <c r="AL45" s="1" t="s">
        <v>159</v>
      </c>
      <c r="AM45" s="15" t="s">
        <v>397</v>
      </c>
      <c r="AN45" t="b">
        <f>R45=AM45</f>
        <v>1</v>
      </c>
      <c r="AP45" s="29"/>
      <c r="AQ45" s="29"/>
      <c r="AR45" s="29"/>
      <c r="AS45" s="29"/>
      <c r="AT45" s="29"/>
      <c r="AU45" s="29"/>
    </row>
    <row r="46" spans="1:54">
      <c r="A46" s="1">
        <v>219</v>
      </c>
      <c r="B46" s="1" t="s">
        <v>202</v>
      </c>
      <c r="C46" s="2">
        <v>27.120999999999999</v>
      </c>
      <c r="D46" s="2">
        <v>26.148</v>
      </c>
      <c r="E46" s="8" t="s">
        <v>203</v>
      </c>
      <c r="F46" s="8" t="s">
        <v>203</v>
      </c>
      <c r="G46" s="1" t="s">
        <v>203</v>
      </c>
      <c r="H46" s="1"/>
      <c r="I46" s="1" t="s">
        <v>351</v>
      </c>
      <c r="J46" s="1">
        <v>3</v>
      </c>
      <c r="K46" s="1" t="str">
        <f>CONCATENATE(I46,J46)</f>
        <v>J3</v>
      </c>
      <c r="L46" s="1" t="s">
        <v>359</v>
      </c>
      <c r="M46" s="1">
        <v>114</v>
      </c>
      <c r="N46">
        <v>45</v>
      </c>
      <c r="O46" s="6" t="s">
        <v>368</v>
      </c>
      <c r="Q46" s="1" t="s">
        <v>202</v>
      </c>
      <c r="R46" s="15" t="s">
        <v>398</v>
      </c>
      <c r="T46" s="2">
        <v>27.120999999999999</v>
      </c>
      <c r="U46" s="2">
        <v>26.148</v>
      </c>
      <c r="V46" s="15" t="s">
        <v>725</v>
      </c>
      <c r="W46" s="18">
        <f>T46-U46</f>
        <v>0.97299999999999898</v>
      </c>
      <c r="X46" s="30">
        <v>1279.56</v>
      </c>
      <c r="Y46" s="30">
        <f>(X46-450)/3</f>
        <v>276.52</v>
      </c>
      <c r="Z46" s="1" t="s">
        <v>203</v>
      </c>
      <c r="AA46" s="15"/>
      <c r="AB46" s="15"/>
      <c r="AC46" s="15"/>
      <c r="AD46" s="15"/>
      <c r="AE46" s="15">
        <v>1418</v>
      </c>
      <c r="AF46" s="15"/>
      <c r="AG46" s="29"/>
      <c r="AH46" s="1" t="s">
        <v>129</v>
      </c>
      <c r="AJ46" t="s">
        <v>1049</v>
      </c>
      <c r="AL46" s="1" t="s">
        <v>202</v>
      </c>
      <c r="AM46" s="15" t="s">
        <v>398</v>
      </c>
      <c r="AN46" t="b">
        <f>R46=AM46</f>
        <v>1</v>
      </c>
    </row>
    <row r="47" spans="1:54">
      <c r="A47" s="1">
        <v>267</v>
      </c>
      <c r="B47" s="1" t="s">
        <v>243</v>
      </c>
      <c r="C47" s="2" t="s">
        <v>129</v>
      </c>
      <c r="D47" s="2">
        <v>24.21</v>
      </c>
      <c r="E47" s="8" t="s">
        <v>129</v>
      </c>
      <c r="F47" s="8" t="s">
        <v>203</v>
      </c>
      <c r="G47" s="1" t="s">
        <v>129</v>
      </c>
      <c r="H47" s="1"/>
      <c r="I47" s="1" t="s">
        <v>357</v>
      </c>
      <c r="J47" s="1">
        <v>3</v>
      </c>
      <c r="K47" s="1" t="str">
        <f>CONCATENATE(I47,J47)</f>
        <v>L3</v>
      </c>
      <c r="L47" s="1" t="s">
        <v>359</v>
      </c>
      <c r="M47" s="1">
        <v>116</v>
      </c>
      <c r="N47">
        <v>46</v>
      </c>
      <c r="O47" s="6" t="s">
        <v>368</v>
      </c>
      <c r="Q47" s="1" t="s">
        <v>243</v>
      </c>
      <c r="R47" s="15" t="s">
        <v>426</v>
      </c>
      <c r="T47" s="2" t="s">
        <v>129</v>
      </c>
      <c r="U47" s="2">
        <v>24.21</v>
      </c>
      <c r="V47" s="15" t="s">
        <v>753</v>
      </c>
      <c r="W47" s="18" t="e">
        <f>T47-U47</f>
        <v>#VALUE!</v>
      </c>
      <c r="X47" s="30"/>
      <c r="Y47" s="30"/>
      <c r="Z47" s="1" t="s">
        <v>129</v>
      </c>
      <c r="AA47" s="15"/>
      <c r="AB47" s="15"/>
      <c r="AC47" s="15"/>
      <c r="AD47" s="15"/>
      <c r="AE47" s="15"/>
      <c r="AF47" s="15"/>
      <c r="AG47" s="29"/>
      <c r="AH47" s="1" t="s">
        <v>129</v>
      </c>
      <c r="AJ47" t="s">
        <v>1049</v>
      </c>
      <c r="AL47" s="1" t="s">
        <v>243</v>
      </c>
      <c r="AM47" s="15" t="s">
        <v>426</v>
      </c>
      <c r="AN47" t="b">
        <f>R47=AM47</f>
        <v>1</v>
      </c>
    </row>
    <row r="48" spans="1:54">
      <c r="A48" s="1">
        <v>315</v>
      </c>
      <c r="B48" s="1" t="s">
        <v>282</v>
      </c>
      <c r="C48" s="2">
        <v>26.056999999999999</v>
      </c>
      <c r="D48" s="2">
        <v>25.204999999999998</v>
      </c>
      <c r="E48" s="8" t="s">
        <v>203</v>
      </c>
      <c r="F48" s="8" t="s">
        <v>203</v>
      </c>
      <c r="G48" s="1" t="s">
        <v>203</v>
      </c>
      <c r="H48" s="1"/>
      <c r="I48" s="1" t="s">
        <v>4</v>
      </c>
      <c r="J48" s="1">
        <v>3</v>
      </c>
      <c r="K48" s="1" t="str">
        <f>CONCATENATE(I48,J48)</f>
        <v>N3</v>
      </c>
      <c r="L48" s="1" t="s">
        <v>359</v>
      </c>
      <c r="M48" s="1">
        <v>118</v>
      </c>
      <c r="N48">
        <v>47</v>
      </c>
      <c r="O48" s="6" t="s">
        <v>368</v>
      </c>
      <c r="Q48" s="1" t="s">
        <v>282</v>
      </c>
      <c r="R48" s="15" t="s">
        <v>399</v>
      </c>
      <c r="T48" s="2">
        <v>26.056999999999999</v>
      </c>
      <c r="U48" s="2">
        <v>25.204999999999998</v>
      </c>
      <c r="V48" s="15" t="s">
        <v>726</v>
      </c>
      <c r="W48" s="18">
        <f>T48-U48</f>
        <v>0.85200000000000031</v>
      </c>
      <c r="X48" s="30">
        <v>1268.05</v>
      </c>
      <c r="Y48" s="30">
        <f>(X48-450)/3</f>
        <v>272.68333333333334</v>
      </c>
      <c r="Z48" s="1" t="s">
        <v>203</v>
      </c>
      <c r="AA48" s="15"/>
      <c r="AB48" s="15"/>
      <c r="AC48" s="15"/>
      <c r="AD48" s="15"/>
      <c r="AE48" s="15">
        <v>1879</v>
      </c>
      <c r="AF48" s="15"/>
      <c r="AG48" s="29"/>
      <c r="AH48" s="1" t="s">
        <v>129</v>
      </c>
      <c r="AJ48" t="s">
        <v>1049</v>
      </c>
      <c r="AL48" s="1" t="s">
        <v>282</v>
      </c>
      <c r="AM48" s="15" t="s">
        <v>399</v>
      </c>
      <c r="AN48" t="b">
        <f>R48=AM48</f>
        <v>1</v>
      </c>
    </row>
    <row r="49" spans="1:54">
      <c r="A49" s="1">
        <v>363</v>
      </c>
      <c r="B49" s="1" t="s">
        <v>321</v>
      </c>
      <c r="C49" s="2">
        <v>35.325000000000003</v>
      </c>
      <c r="D49" s="2">
        <v>24.571999999999999</v>
      </c>
      <c r="E49" s="8" t="s">
        <v>366</v>
      </c>
      <c r="F49" s="8" t="s">
        <v>203</v>
      </c>
      <c r="G49" s="1" t="s">
        <v>129</v>
      </c>
      <c r="H49" s="1"/>
      <c r="I49" s="1" t="s">
        <v>355</v>
      </c>
      <c r="J49" s="1">
        <v>3</v>
      </c>
      <c r="K49" s="1" t="str">
        <f>CONCATENATE(I49,J49)</f>
        <v>P3</v>
      </c>
      <c r="L49" s="1" t="s">
        <v>359</v>
      </c>
      <c r="M49" s="1">
        <v>120</v>
      </c>
      <c r="N49">
        <v>48</v>
      </c>
      <c r="O49" s="6" t="s">
        <v>368</v>
      </c>
      <c r="Q49" s="1" t="s">
        <v>321</v>
      </c>
      <c r="R49" s="15" t="s">
        <v>412</v>
      </c>
      <c r="T49" s="2">
        <v>35.325000000000003</v>
      </c>
      <c r="U49" s="2">
        <v>24.571999999999999</v>
      </c>
      <c r="V49" s="15" t="s">
        <v>739</v>
      </c>
      <c r="W49" s="18">
        <f>T49-U49</f>
        <v>10.753000000000004</v>
      </c>
      <c r="X49" s="30"/>
      <c r="Y49" s="30"/>
      <c r="Z49" s="1" t="s">
        <v>129</v>
      </c>
      <c r="AA49" s="15"/>
      <c r="AB49" s="15"/>
      <c r="AC49" s="15"/>
      <c r="AD49" s="15"/>
      <c r="AE49" s="15"/>
      <c r="AF49" s="15"/>
      <c r="AG49" s="29"/>
      <c r="AH49" s="1" t="s">
        <v>129</v>
      </c>
      <c r="AJ49" t="s">
        <v>1049</v>
      </c>
      <c r="AL49" s="1" t="s">
        <v>321</v>
      </c>
      <c r="AM49" s="15" t="s">
        <v>412</v>
      </c>
      <c r="AN49" t="b">
        <f>R49=AM49</f>
        <v>1</v>
      </c>
    </row>
    <row r="50" spans="1:54">
      <c r="A50" s="1">
        <v>4</v>
      </c>
      <c r="B50" s="1" t="s">
        <v>8</v>
      </c>
      <c r="C50" s="2">
        <v>26.227</v>
      </c>
      <c r="D50" s="2">
        <v>25.372</v>
      </c>
      <c r="E50" s="8" t="s">
        <v>203</v>
      </c>
      <c r="F50" s="8" t="s">
        <v>203</v>
      </c>
      <c r="G50" s="1" t="s">
        <v>203</v>
      </c>
      <c r="H50" s="1"/>
      <c r="I50" s="1" t="s">
        <v>342</v>
      </c>
      <c r="J50" s="1">
        <v>4</v>
      </c>
      <c r="K50" s="1" t="str">
        <f>CONCATENATE(I50,J50)</f>
        <v>A4</v>
      </c>
      <c r="L50" s="1" t="s">
        <v>358</v>
      </c>
      <c r="M50" s="1">
        <v>25</v>
      </c>
      <c r="N50">
        <v>49</v>
      </c>
      <c r="O50" s="6" t="s">
        <v>368</v>
      </c>
      <c r="Q50" s="1" t="s">
        <v>8</v>
      </c>
      <c r="R50" s="15" t="s">
        <v>400</v>
      </c>
      <c r="T50" s="2">
        <v>26.227</v>
      </c>
      <c r="U50" s="2">
        <v>25.372</v>
      </c>
      <c r="V50" s="15" t="s">
        <v>727</v>
      </c>
      <c r="W50" s="18">
        <f>T50-U50</f>
        <v>0.85500000000000043</v>
      </c>
      <c r="X50" s="30">
        <v>1321.72</v>
      </c>
      <c r="Y50" s="30">
        <f>(X50-450)/3</f>
        <v>290.57333333333332</v>
      </c>
      <c r="Z50" s="1" t="s">
        <v>203</v>
      </c>
      <c r="AA50" s="15"/>
      <c r="AB50" s="15"/>
      <c r="AC50" s="15"/>
      <c r="AD50" s="15"/>
      <c r="AE50" s="15">
        <v>2651</v>
      </c>
      <c r="AF50" s="15"/>
      <c r="AG50" s="29"/>
      <c r="AH50" s="1" t="s">
        <v>86</v>
      </c>
      <c r="AJ50" t="s">
        <v>1049</v>
      </c>
      <c r="AL50" s="1" t="s">
        <v>8</v>
      </c>
      <c r="AM50" s="15" t="s">
        <v>400</v>
      </c>
      <c r="AN50" t="b">
        <f>R50=AM50</f>
        <v>1</v>
      </c>
    </row>
    <row r="51" spans="1:54">
      <c r="A51" s="1">
        <v>52</v>
      </c>
      <c r="B51" s="1" t="s">
        <v>52</v>
      </c>
      <c r="C51" s="2">
        <v>25.626000000000001</v>
      </c>
      <c r="D51" s="2">
        <v>24.591999999999999</v>
      </c>
      <c r="E51" s="8" t="s">
        <v>203</v>
      </c>
      <c r="F51" s="8" t="s">
        <v>203</v>
      </c>
      <c r="G51" s="1" t="s">
        <v>203</v>
      </c>
      <c r="H51" s="1"/>
      <c r="I51" s="1" t="s">
        <v>344</v>
      </c>
      <c r="J51" s="1">
        <v>4</v>
      </c>
      <c r="K51" s="1" t="str">
        <f>CONCATENATE(I51,J51)</f>
        <v>C4</v>
      </c>
      <c r="L51" s="1" t="s">
        <v>358</v>
      </c>
      <c r="M51" s="1">
        <v>27</v>
      </c>
      <c r="N51">
        <v>50</v>
      </c>
      <c r="O51" s="6" t="s">
        <v>368</v>
      </c>
      <c r="Q51" s="1" t="s">
        <v>52</v>
      </c>
      <c r="R51" s="15" t="s">
        <v>401</v>
      </c>
      <c r="T51" s="2">
        <v>25.626000000000001</v>
      </c>
      <c r="U51" s="2">
        <v>24.591999999999999</v>
      </c>
      <c r="V51" s="15" t="s">
        <v>728</v>
      </c>
      <c r="W51" s="18">
        <f>T51-U51</f>
        <v>1.0340000000000025</v>
      </c>
      <c r="X51" s="30">
        <v>1267.6099999999999</v>
      </c>
      <c r="Y51" s="30">
        <f>(X51-450)/3</f>
        <v>272.53666666666663</v>
      </c>
      <c r="Z51" s="1" t="s">
        <v>203</v>
      </c>
      <c r="AA51" s="15"/>
      <c r="AB51" s="15"/>
      <c r="AC51" s="15"/>
      <c r="AD51" s="15"/>
      <c r="AE51" s="15">
        <v>2409</v>
      </c>
      <c r="AF51" s="15"/>
      <c r="AG51" s="29"/>
      <c r="AH51" s="1" t="s">
        <v>42</v>
      </c>
      <c r="AJ51" t="s">
        <v>1049</v>
      </c>
      <c r="AL51" s="1" t="s">
        <v>52</v>
      </c>
      <c r="AM51" s="15" t="s">
        <v>401</v>
      </c>
      <c r="AN51" t="b">
        <f>R51=AM51</f>
        <v>1</v>
      </c>
    </row>
    <row r="52" spans="1:54">
      <c r="A52" s="1">
        <v>100</v>
      </c>
      <c r="B52" s="1" t="s">
        <v>96</v>
      </c>
      <c r="C52" s="2">
        <v>25.03</v>
      </c>
      <c r="D52" s="2">
        <v>24.295999999999999</v>
      </c>
      <c r="E52" s="8" t="s">
        <v>203</v>
      </c>
      <c r="F52" s="8" t="s">
        <v>203</v>
      </c>
      <c r="G52" s="1" t="s">
        <v>203</v>
      </c>
      <c r="H52" s="1"/>
      <c r="I52" s="1" t="s">
        <v>346</v>
      </c>
      <c r="J52" s="1">
        <v>4</v>
      </c>
      <c r="K52" s="1" t="str">
        <f>CONCATENATE(I52,J52)</f>
        <v>E4</v>
      </c>
      <c r="L52" s="1" t="s">
        <v>358</v>
      </c>
      <c r="M52" s="1">
        <v>29</v>
      </c>
      <c r="N52">
        <v>51</v>
      </c>
      <c r="O52" s="6" t="s">
        <v>368</v>
      </c>
      <c r="Q52" s="1" t="s">
        <v>96</v>
      </c>
      <c r="R52" s="15" t="s">
        <v>402</v>
      </c>
      <c r="T52" s="2">
        <v>25.03</v>
      </c>
      <c r="U52" s="2">
        <v>24.295999999999999</v>
      </c>
      <c r="V52" s="15" t="s">
        <v>729</v>
      </c>
      <c r="W52" s="18">
        <f>T52-U52</f>
        <v>0.73400000000000176</v>
      </c>
      <c r="X52" s="30">
        <v>1245.28</v>
      </c>
      <c r="Y52" s="30">
        <f>(X52-450)/3</f>
        <v>265.09333333333331</v>
      </c>
      <c r="Z52" s="1" t="s">
        <v>203</v>
      </c>
      <c r="AA52" s="15"/>
      <c r="AB52" s="15"/>
      <c r="AC52" s="15"/>
      <c r="AD52" s="15"/>
      <c r="AE52" s="15">
        <v>2906</v>
      </c>
      <c r="AF52" s="15"/>
      <c r="AG52" s="29"/>
      <c r="AH52" s="1" t="s">
        <v>129</v>
      </c>
      <c r="AJ52" t="s">
        <v>1049</v>
      </c>
      <c r="AL52" s="1" t="s">
        <v>96</v>
      </c>
      <c r="AM52" s="15" t="s">
        <v>402</v>
      </c>
      <c r="AN52" t="b">
        <f>R52=AM52</f>
        <v>1</v>
      </c>
      <c r="AP52" s="29"/>
      <c r="AQ52" s="29"/>
      <c r="AR52" s="29"/>
      <c r="AS52" s="29"/>
      <c r="AT52" s="29"/>
      <c r="AU52" s="29"/>
    </row>
    <row r="53" spans="1:54">
      <c r="A53" s="1">
        <v>148</v>
      </c>
      <c r="B53" s="1" t="s">
        <v>139</v>
      </c>
      <c r="C53" s="2">
        <v>35.447000000000003</v>
      </c>
      <c r="D53" s="2">
        <v>25.43</v>
      </c>
      <c r="E53" s="8" t="s">
        <v>366</v>
      </c>
      <c r="F53" s="8" t="s">
        <v>203</v>
      </c>
      <c r="G53" s="1" t="s">
        <v>129</v>
      </c>
      <c r="H53" s="1"/>
      <c r="I53" s="1" t="s">
        <v>348</v>
      </c>
      <c r="J53" s="1">
        <v>4</v>
      </c>
      <c r="K53" s="1" t="str">
        <f>CONCATENATE(I53,J53)</f>
        <v>G4</v>
      </c>
      <c r="L53" s="1" t="s">
        <v>358</v>
      </c>
      <c r="M53" s="1">
        <v>31</v>
      </c>
      <c r="N53">
        <v>52</v>
      </c>
      <c r="O53" s="6" t="s">
        <v>368</v>
      </c>
      <c r="Q53" s="1" t="s">
        <v>139</v>
      </c>
      <c r="R53" s="15" t="s">
        <v>413</v>
      </c>
      <c r="T53" s="2">
        <v>35.447000000000003</v>
      </c>
      <c r="U53" s="2">
        <v>25.43</v>
      </c>
      <c r="V53" s="15" t="s">
        <v>740</v>
      </c>
      <c r="W53" s="18">
        <f>T53-U53</f>
        <v>10.017000000000003</v>
      </c>
      <c r="X53" s="30"/>
      <c r="Y53" s="30"/>
      <c r="Z53" s="1" t="s">
        <v>129</v>
      </c>
      <c r="AA53" s="15"/>
      <c r="AB53" s="15"/>
      <c r="AC53" s="15"/>
      <c r="AD53" s="15"/>
      <c r="AE53" s="15"/>
      <c r="AF53" s="15"/>
      <c r="AG53" s="29"/>
      <c r="AH53" s="1" t="s">
        <v>129</v>
      </c>
      <c r="AJ53" t="s">
        <v>1049</v>
      </c>
      <c r="AL53" s="1" t="s">
        <v>139</v>
      </c>
      <c r="AM53" s="15" t="s">
        <v>413</v>
      </c>
      <c r="AN53" t="b">
        <f>R53=AM53</f>
        <v>1</v>
      </c>
    </row>
    <row r="54" spans="1:54">
      <c r="A54" s="1">
        <v>196</v>
      </c>
      <c r="B54" s="1" t="s">
        <v>182</v>
      </c>
      <c r="C54" s="2">
        <v>26.117000000000001</v>
      </c>
      <c r="D54" s="2">
        <v>25.114999999999998</v>
      </c>
      <c r="E54" s="8" t="s">
        <v>203</v>
      </c>
      <c r="F54" s="8" t="s">
        <v>203</v>
      </c>
      <c r="G54" s="1" t="s">
        <v>203</v>
      </c>
      <c r="H54" s="1"/>
      <c r="I54" s="1" t="s">
        <v>350</v>
      </c>
      <c r="J54" s="1">
        <v>4</v>
      </c>
      <c r="K54" s="1" t="str">
        <f>CONCATENATE(I54,J54)</f>
        <v>I4</v>
      </c>
      <c r="L54" s="1" t="s">
        <v>359</v>
      </c>
      <c r="M54" s="1">
        <v>121</v>
      </c>
      <c r="N54">
        <v>53</v>
      </c>
      <c r="O54" s="6" t="s">
        <v>368</v>
      </c>
      <c r="Q54" s="1" t="s">
        <v>182</v>
      </c>
      <c r="R54" s="15" t="s">
        <v>403</v>
      </c>
      <c r="T54" s="2">
        <v>26.117000000000001</v>
      </c>
      <c r="U54" s="2">
        <v>25.114999999999998</v>
      </c>
      <c r="V54" s="15" t="s">
        <v>730</v>
      </c>
      <c r="W54" s="18">
        <f>T54-U54</f>
        <v>1.0020000000000024</v>
      </c>
      <c r="X54" s="30">
        <v>1266.31</v>
      </c>
      <c r="Y54" s="30">
        <f>(X54-450)/3</f>
        <v>272.1033333333333</v>
      </c>
      <c r="Z54" s="1" t="s">
        <v>203</v>
      </c>
      <c r="AA54" s="15"/>
      <c r="AB54" s="15"/>
      <c r="AC54" s="15"/>
      <c r="AD54" s="15"/>
      <c r="AE54" s="15">
        <v>2360</v>
      </c>
      <c r="AF54" s="15"/>
      <c r="AG54" s="29"/>
      <c r="AH54" s="1" t="s">
        <v>86</v>
      </c>
      <c r="AJ54" t="s">
        <v>1049</v>
      </c>
      <c r="AL54" s="1" t="s">
        <v>182</v>
      </c>
      <c r="AM54" s="15" t="s">
        <v>403</v>
      </c>
      <c r="AN54" t="b">
        <f>R54=AM54</f>
        <v>1</v>
      </c>
    </row>
    <row r="55" spans="1:54">
      <c r="A55" s="1">
        <v>244</v>
      </c>
      <c r="B55" s="1" t="s">
        <v>223</v>
      </c>
      <c r="C55" s="2" t="s">
        <v>129</v>
      </c>
      <c r="D55" s="2">
        <v>25.28</v>
      </c>
      <c r="E55" s="8" t="s">
        <v>129</v>
      </c>
      <c r="F55" s="8" t="s">
        <v>203</v>
      </c>
      <c r="G55" s="1" t="s">
        <v>129</v>
      </c>
      <c r="H55" s="1"/>
      <c r="I55" s="1" t="s">
        <v>352</v>
      </c>
      <c r="J55" s="1">
        <v>4</v>
      </c>
      <c r="K55" s="1" t="str">
        <f>CONCATENATE(I55,J55)</f>
        <v>K4</v>
      </c>
      <c r="L55" s="1" t="s">
        <v>359</v>
      </c>
      <c r="M55" s="1">
        <v>123</v>
      </c>
      <c r="N55">
        <v>54</v>
      </c>
      <c r="O55" s="6" t="s">
        <v>368</v>
      </c>
      <c r="Q55" s="1" t="s">
        <v>223</v>
      </c>
      <c r="R55" s="15" t="s">
        <v>427</v>
      </c>
      <c r="T55" s="2" t="s">
        <v>129</v>
      </c>
      <c r="U55" s="2">
        <v>25.28</v>
      </c>
      <c r="V55" s="15" t="s">
        <v>754</v>
      </c>
      <c r="W55" s="18" t="e">
        <f>T55-U55</f>
        <v>#VALUE!</v>
      </c>
      <c r="X55" s="30"/>
      <c r="Y55" s="30"/>
      <c r="Z55" s="1" t="s">
        <v>129</v>
      </c>
      <c r="AA55" s="15"/>
      <c r="AB55" s="15"/>
      <c r="AC55" s="15"/>
      <c r="AD55" s="15"/>
      <c r="AE55" s="15"/>
      <c r="AF55" s="15"/>
      <c r="AG55" s="29"/>
      <c r="AH55" s="1" t="s">
        <v>129</v>
      </c>
      <c r="AJ55" t="s">
        <v>1049</v>
      </c>
      <c r="AL55" s="1" t="s">
        <v>223</v>
      </c>
      <c r="AM55" s="15" t="s">
        <v>427</v>
      </c>
      <c r="AN55" t="b">
        <f>R55=AM55</f>
        <v>1</v>
      </c>
    </row>
    <row r="56" spans="1:54">
      <c r="A56" s="1">
        <v>292</v>
      </c>
      <c r="B56" s="1" t="s">
        <v>263</v>
      </c>
      <c r="C56" s="2" t="s">
        <v>129</v>
      </c>
      <c r="D56" s="2">
        <v>25.391999999999999</v>
      </c>
      <c r="E56" s="8" t="s">
        <v>129</v>
      </c>
      <c r="F56" s="8" t="s">
        <v>203</v>
      </c>
      <c r="G56" s="1" t="s">
        <v>129</v>
      </c>
      <c r="H56" s="1"/>
      <c r="I56" s="1" t="s">
        <v>353</v>
      </c>
      <c r="J56" s="1">
        <v>4</v>
      </c>
      <c r="K56" s="1" t="str">
        <f>CONCATENATE(I56,J56)</f>
        <v>M4</v>
      </c>
      <c r="L56" s="1" t="s">
        <v>359</v>
      </c>
      <c r="M56" s="1">
        <v>125</v>
      </c>
      <c r="N56">
        <v>55</v>
      </c>
      <c r="O56" s="6" t="s">
        <v>368</v>
      </c>
      <c r="Q56" s="1" t="s">
        <v>263</v>
      </c>
      <c r="R56" s="15" t="s">
        <v>428</v>
      </c>
      <c r="T56" s="2" t="s">
        <v>129</v>
      </c>
      <c r="U56" s="2">
        <v>25.391999999999999</v>
      </c>
      <c r="V56" s="15" t="s">
        <v>755</v>
      </c>
      <c r="W56" s="18" t="e">
        <f>T56-U56</f>
        <v>#VALUE!</v>
      </c>
      <c r="X56" s="30"/>
      <c r="Y56" s="30"/>
      <c r="Z56" s="1" t="s">
        <v>129</v>
      </c>
      <c r="AA56" s="15"/>
      <c r="AB56" s="15"/>
      <c r="AC56" s="15"/>
      <c r="AD56" s="15"/>
      <c r="AE56" s="15"/>
      <c r="AF56" s="15"/>
      <c r="AG56" s="29"/>
      <c r="AH56" s="1" t="s">
        <v>86</v>
      </c>
      <c r="AJ56" t="s">
        <v>1049</v>
      </c>
      <c r="AL56" s="1" t="s">
        <v>263</v>
      </c>
      <c r="AM56" s="15" t="s">
        <v>428</v>
      </c>
      <c r="AN56" t="b">
        <f>R56=AM56</f>
        <v>1</v>
      </c>
    </row>
    <row r="57" spans="1:54">
      <c r="A57" s="1">
        <v>340</v>
      </c>
      <c r="B57" s="1" t="s">
        <v>302</v>
      </c>
      <c r="C57" s="2">
        <v>25.712</v>
      </c>
      <c r="D57" s="2">
        <v>25.013000000000002</v>
      </c>
      <c r="E57" s="8" t="s">
        <v>203</v>
      </c>
      <c r="F57" s="8" t="s">
        <v>203</v>
      </c>
      <c r="G57" s="1" t="s">
        <v>203</v>
      </c>
      <c r="H57" s="1"/>
      <c r="I57" s="1" t="s">
        <v>354</v>
      </c>
      <c r="J57" s="1">
        <v>4</v>
      </c>
      <c r="K57" s="1" t="str">
        <f>CONCATENATE(I57,J57)</f>
        <v>O4</v>
      </c>
      <c r="L57" s="1" t="s">
        <v>359</v>
      </c>
      <c r="M57" s="1">
        <v>127</v>
      </c>
      <c r="N57">
        <v>56</v>
      </c>
      <c r="O57" s="6" t="s">
        <v>368</v>
      </c>
      <c r="Q57" s="1" t="s">
        <v>302</v>
      </c>
      <c r="R57" s="15" t="s">
        <v>404</v>
      </c>
      <c r="T57" s="2">
        <v>25.712</v>
      </c>
      <c r="U57" s="2">
        <v>25.013000000000002</v>
      </c>
      <c r="V57" s="15" t="s">
        <v>731</v>
      </c>
      <c r="W57" s="18">
        <f>T57-U57</f>
        <v>0.69899999999999807</v>
      </c>
      <c r="X57" s="30">
        <v>1277.96</v>
      </c>
      <c r="Y57" s="30">
        <f>(X57-450)/3</f>
        <v>275.98666666666668</v>
      </c>
      <c r="Z57" s="1" t="s">
        <v>203</v>
      </c>
      <c r="AA57" s="15"/>
      <c r="AB57" s="15"/>
      <c r="AC57" s="15"/>
      <c r="AD57" s="15"/>
      <c r="AE57" s="15">
        <v>2180</v>
      </c>
      <c r="AF57" s="15"/>
      <c r="AG57" s="29"/>
      <c r="AH57" s="1" t="s">
        <v>86</v>
      </c>
      <c r="AJ57" t="s">
        <v>1049</v>
      </c>
      <c r="AL57" s="1" t="s">
        <v>302</v>
      </c>
      <c r="AM57" s="15" t="s">
        <v>404</v>
      </c>
      <c r="AN57" t="b">
        <f>R57=AM57</f>
        <v>1</v>
      </c>
    </row>
    <row r="58" spans="1:54">
      <c r="A58" s="1">
        <v>28</v>
      </c>
      <c r="B58" s="1" t="s">
        <v>30</v>
      </c>
      <c r="C58" s="2" t="s">
        <v>129</v>
      </c>
      <c r="D58" s="2">
        <v>24.683</v>
      </c>
      <c r="E58" s="8" t="s">
        <v>129</v>
      </c>
      <c r="F58" s="8" t="s">
        <v>203</v>
      </c>
      <c r="G58" s="1" t="s">
        <v>129</v>
      </c>
      <c r="H58" s="1"/>
      <c r="I58" s="1" t="s">
        <v>343</v>
      </c>
      <c r="J58" s="1">
        <v>4</v>
      </c>
      <c r="K58" s="1" t="str">
        <f>CONCATENATE(I58,J58)</f>
        <v>B4</v>
      </c>
      <c r="L58" s="1" t="s">
        <v>358</v>
      </c>
      <c r="M58" s="1">
        <v>26</v>
      </c>
      <c r="N58">
        <v>57</v>
      </c>
      <c r="O58" s="6" t="s">
        <v>368</v>
      </c>
      <c r="Q58" s="1" t="s">
        <v>30</v>
      </c>
      <c r="R58" s="15" t="s">
        <v>429</v>
      </c>
      <c r="T58" s="2" t="s">
        <v>129</v>
      </c>
      <c r="U58" s="2">
        <v>24.683</v>
      </c>
      <c r="V58" s="15" t="s">
        <v>756</v>
      </c>
      <c r="W58" s="18" t="e">
        <f>T58-U58</f>
        <v>#VALUE!</v>
      </c>
      <c r="X58" s="30"/>
      <c r="Y58" s="30"/>
      <c r="Z58" s="1" t="s">
        <v>129</v>
      </c>
      <c r="AA58" s="15"/>
      <c r="AB58" s="15"/>
      <c r="AC58" s="15"/>
      <c r="AD58" s="15"/>
      <c r="AE58" s="15"/>
      <c r="AF58" s="15"/>
      <c r="AG58" s="29"/>
      <c r="AH58" s="1" t="s">
        <v>129</v>
      </c>
      <c r="AJ58" t="s">
        <v>1049</v>
      </c>
      <c r="AL58" s="1" t="s">
        <v>30</v>
      </c>
      <c r="AM58" s="15" t="s">
        <v>429</v>
      </c>
      <c r="AN58" t="b">
        <f>R58=AM58</f>
        <v>1</v>
      </c>
    </row>
    <row r="59" spans="1:54">
      <c r="A59" s="1">
        <v>76</v>
      </c>
      <c r="B59" s="1" t="s">
        <v>74</v>
      </c>
      <c r="C59" s="2" t="s">
        <v>129</v>
      </c>
      <c r="D59" s="2">
        <v>26.382000000000001</v>
      </c>
      <c r="E59" s="8" t="s">
        <v>129</v>
      </c>
      <c r="F59" s="8" t="s">
        <v>203</v>
      </c>
      <c r="G59" s="1" t="s">
        <v>129</v>
      </c>
      <c r="H59" s="1"/>
      <c r="I59" s="1" t="s">
        <v>345</v>
      </c>
      <c r="J59" s="1">
        <v>4</v>
      </c>
      <c r="K59" s="1" t="str">
        <f>CONCATENATE(I59,J59)</f>
        <v>D4</v>
      </c>
      <c r="L59" s="1" t="s">
        <v>358</v>
      </c>
      <c r="M59" s="1">
        <v>28</v>
      </c>
      <c r="N59">
        <v>58</v>
      </c>
      <c r="O59" s="6" t="s">
        <v>368</v>
      </c>
      <c r="Q59" s="1" t="s">
        <v>74</v>
      </c>
      <c r="R59" s="15" t="s">
        <v>430</v>
      </c>
      <c r="T59" s="2" t="s">
        <v>129</v>
      </c>
      <c r="U59" s="2">
        <v>26.382000000000001</v>
      </c>
      <c r="V59" s="15" t="s">
        <v>757</v>
      </c>
      <c r="W59" s="18" t="e">
        <f>T59-U59</f>
        <v>#VALUE!</v>
      </c>
      <c r="X59" s="30"/>
      <c r="Y59" s="30"/>
      <c r="Z59" s="1" t="s">
        <v>129</v>
      </c>
      <c r="AA59" s="15"/>
      <c r="AB59" s="15"/>
      <c r="AC59" s="15"/>
      <c r="AD59" s="15"/>
      <c r="AE59" s="15"/>
      <c r="AF59" s="15"/>
      <c r="AG59" s="29"/>
      <c r="AH59" s="1" t="s">
        <v>86</v>
      </c>
      <c r="AJ59" t="s">
        <v>1049</v>
      </c>
      <c r="AL59" s="1" t="s">
        <v>74</v>
      </c>
      <c r="AM59" s="15" t="s">
        <v>430</v>
      </c>
      <c r="AN59" t="b">
        <f>R59=AM59</f>
        <v>1</v>
      </c>
    </row>
    <row r="60" spans="1:54">
      <c r="A60" s="1">
        <v>124</v>
      </c>
      <c r="B60" s="1" t="s">
        <v>117</v>
      </c>
      <c r="C60" s="2">
        <v>26.66</v>
      </c>
      <c r="D60" s="2">
        <v>25.425000000000001</v>
      </c>
      <c r="E60" s="8" t="s">
        <v>203</v>
      </c>
      <c r="F60" s="8" t="s">
        <v>203</v>
      </c>
      <c r="G60" s="1" t="s">
        <v>203</v>
      </c>
      <c r="H60" s="1"/>
      <c r="I60" s="1" t="s">
        <v>347</v>
      </c>
      <c r="J60" s="1">
        <v>4</v>
      </c>
      <c r="K60" s="1" t="str">
        <f>CONCATENATE(I60,J60)</f>
        <v>F4</v>
      </c>
      <c r="L60" s="1" t="s">
        <v>358</v>
      </c>
      <c r="M60" s="1">
        <v>30</v>
      </c>
      <c r="N60">
        <v>59</v>
      </c>
      <c r="O60" s="6" t="s">
        <v>368</v>
      </c>
      <c r="Q60" s="1" t="s">
        <v>117</v>
      </c>
      <c r="R60" s="15" t="s">
        <v>405</v>
      </c>
      <c r="T60" s="2">
        <v>26.66</v>
      </c>
      <c r="U60" s="2">
        <v>25.425000000000001</v>
      </c>
      <c r="V60" s="15" t="s">
        <v>732</v>
      </c>
      <c r="W60" s="18">
        <f>T60-U60</f>
        <v>1.2349999999999994</v>
      </c>
      <c r="X60" s="30">
        <v>1278.56</v>
      </c>
      <c r="Y60" s="30">
        <f>(X60-450)/3</f>
        <v>276.18666666666667</v>
      </c>
      <c r="Z60" s="1" t="s">
        <v>203</v>
      </c>
      <c r="AA60" s="15"/>
      <c r="AB60" s="15"/>
      <c r="AC60" s="15"/>
      <c r="AD60" s="15"/>
      <c r="AE60" s="15">
        <v>2524</v>
      </c>
      <c r="AF60" s="15"/>
      <c r="AG60" s="29"/>
      <c r="AH60" s="1" t="s">
        <v>86</v>
      </c>
      <c r="AJ60" t="s">
        <v>1049</v>
      </c>
      <c r="AL60" s="1" t="s">
        <v>117</v>
      </c>
      <c r="AM60" s="15" t="s">
        <v>405</v>
      </c>
      <c r="AN60" t="b">
        <f>R60=AM60</f>
        <v>1</v>
      </c>
    </row>
    <row r="61" spans="1:54">
      <c r="A61" s="1">
        <v>172</v>
      </c>
      <c r="B61" s="1" t="s">
        <v>160</v>
      </c>
      <c r="C61" s="2">
        <v>26.571999999999999</v>
      </c>
      <c r="D61" s="2">
        <v>25.61</v>
      </c>
      <c r="E61" s="8" t="s">
        <v>203</v>
      </c>
      <c r="F61" s="8" t="s">
        <v>203</v>
      </c>
      <c r="G61" s="1" t="s">
        <v>203</v>
      </c>
      <c r="H61" s="1"/>
      <c r="I61" s="1" t="s">
        <v>349</v>
      </c>
      <c r="J61" s="1">
        <v>4</v>
      </c>
      <c r="K61" s="1" t="str">
        <f>CONCATENATE(I61,J61)</f>
        <v>H4</v>
      </c>
      <c r="L61" s="1" t="s">
        <v>358</v>
      </c>
      <c r="M61" s="1">
        <v>32</v>
      </c>
      <c r="N61">
        <v>60</v>
      </c>
      <c r="O61" s="6" t="s">
        <v>368</v>
      </c>
      <c r="Q61" s="21" t="s">
        <v>160</v>
      </c>
      <c r="R61" s="15" t="s">
        <v>406</v>
      </c>
      <c r="T61" s="22">
        <v>26.571999999999999</v>
      </c>
      <c r="U61" s="22">
        <v>25.61</v>
      </c>
      <c r="V61" s="23" t="s">
        <v>733</v>
      </c>
      <c r="W61" s="24">
        <f>T61-U61</f>
        <v>0.96199999999999974</v>
      </c>
      <c r="X61" s="31">
        <v>1366.45</v>
      </c>
      <c r="Y61" s="30">
        <f>(X61-450)/3</f>
        <v>305.48333333333335</v>
      </c>
      <c r="Z61" s="26" t="s">
        <v>203</v>
      </c>
      <c r="AA61" s="23"/>
      <c r="AB61" s="23"/>
      <c r="AC61" s="23"/>
      <c r="AD61" s="23"/>
      <c r="AE61" s="23"/>
      <c r="AF61" s="23">
        <v>1</v>
      </c>
      <c r="AG61" s="33"/>
      <c r="AH61" s="1" t="s">
        <v>129</v>
      </c>
      <c r="AJ61" t="s">
        <v>1049</v>
      </c>
      <c r="AL61" s="1" t="s">
        <v>160</v>
      </c>
      <c r="AM61" s="15" t="s">
        <v>406</v>
      </c>
      <c r="AN61" t="b">
        <f>R61=AM61</f>
        <v>1</v>
      </c>
      <c r="AP61" s="27" t="s">
        <v>160</v>
      </c>
      <c r="AQ61" s="28">
        <v>27.408200000000001</v>
      </c>
      <c r="AR61" s="28">
        <v>25.639399999999998</v>
      </c>
      <c r="AS61" s="28" t="s">
        <v>203</v>
      </c>
      <c r="AT61" s="28" t="s">
        <v>203</v>
      </c>
      <c r="AU61" s="28" t="s">
        <v>203</v>
      </c>
      <c r="AW61" t="s">
        <v>1041</v>
      </c>
      <c r="AX61" t="s">
        <v>1042</v>
      </c>
      <c r="AY61" t="s">
        <v>343</v>
      </c>
      <c r="AZ61">
        <v>1366.45</v>
      </c>
      <c r="BA61">
        <v>1080</v>
      </c>
      <c r="BB61">
        <v>83885</v>
      </c>
    </row>
    <row r="62" spans="1:54">
      <c r="A62" s="1">
        <v>220</v>
      </c>
      <c r="B62" s="1" t="s">
        <v>203</v>
      </c>
      <c r="C62" s="2" t="s">
        <v>129</v>
      </c>
      <c r="D62" s="2" t="s">
        <v>129</v>
      </c>
      <c r="E62" s="8" t="s">
        <v>129</v>
      </c>
      <c r="F62" s="8" t="s">
        <v>129</v>
      </c>
      <c r="G62" s="1" t="s">
        <v>366</v>
      </c>
      <c r="H62" s="1"/>
      <c r="I62" s="1" t="s">
        <v>351</v>
      </c>
      <c r="J62" s="1">
        <v>4</v>
      </c>
      <c r="K62" s="1" t="str">
        <f>CONCATENATE(I62,J62)</f>
        <v>J4</v>
      </c>
      <c r="L62" s="1" t="s">
        <v>359</v>
      </c>
      <c r="M62" s="1">
        <v>122</v>
      </c>
      <c r="N62">
        <v>61</v>
      </c>
      <c r="O62" s="6" t="s">
        <v>368</v>
      </c>
      <c r="Q62" s="1" t="s">
        <v>203</v>
      </c>
      <c r="R62" s="15"/>
      <c r="T62" s="2" t="s">
        <v>129</v>
      </c>
      <c r="U62" s="2" t="s">
        <v>129</v>
      </c>
      <c r="V62" s="15" t="s">
        <v>759</v>
      </c>
      <c r="W62" s="18" t="e">
        <f>T62-U62</f>
        <v>#VALUE!</v>
      </c>
      <c r="X62" s="30"/>
      <c r="Y62" s="30"/>
      <c r="Z62" s="1" t="s">
        <v>366</v>
      </c>
      <c r="AA62" s="15"/>
      <c r="AB62" s="15"/>
      <c r="AC62" s="15"/>
      <c r="AD62" s="15"/>
      <c r="AE62" s="15"/>
      <c r="AF62" s="15"/>
      <c r="AG62" s="29"/>
      <c r="AH62" s="1" t="s">
        <v>42</v>
      </c>
      <c r="AJ62" t="s">
        <v>1049</v>
      </c>
      <c r="AL62" s="1" t="s">
        <v>42</v>
      </c>
      <c r="AM62" s="15"/>
      <c r="AN62" t="b">
        <f>R62=AM62</f>
        <v>1</v>
      </c>
    </row>
    <row r="63" spans="1:54">
      <c r="A63" s="1">
        <v>268</v>
      </c>
      <c r="B63" s="1" t="s">
        <v>129</v>
      </c>
      <c r="C63" s="2" t="s">
        <v>129</v>
      </c>
      <c r="D63" s="2">
        <v>19.716000000000001</v>
      </c>
      <c r="E63" s="8" t="s">
        <v>129</v>
      </c>
      <c r="F63" s="8" t="s">
        <v>366</v>
      </c>
      <c r="G63" s="1" t="s">
        <v>129</v>
      </c>
      <c r="H63" s="1"/>
      <c r="I63" s="1" t="s">
        <v>357</v>
      </c>
      <c r="J63" s="1">
        <v>4</v>
      </c>
      <c r="K63" s="1" t="str">
        <f>CONCATENATE(I63,J63)</f>
        <v>L4</v>
      </c>
      <c r="L63" s="1" t="s">
        <v>359</v>
      </c>
      <c r="M63" s="1">
        <v>124</v>
      </c>
      <c r="N63">
        <v>62</v>
      </c>
      <c r="O63" s="6" t="s">
        <v>368</v>
      </c>
      <c r="Q63" s="1" t="s">
        <v>129</v>
      </c>
      <c r="R63" s="15"/>
      <c r="T63" s="2" t="s">
        <v>129</v>
      </c>
      <c r="U63" s="2">
        <v>19.716000000000001</v>
      </c>
      <c r="V63" s="15" t="s">
        <v>758</v>
      </c>
      <c r="W63" s="18" t="e">
        <f>T63-U63</f>
        <v>#VALUE!</v>
      </c>
      <c r="X63" s="30"/>
      <c r="Y63" s="30"/>
      <c r="Z63" s="1" t="s">
        <v>129</v>
      </c>
      <c r="AA63" s="15"/>
      <c r="AB63" s="15"/>
      <c r="AC63" s="15"/>
      <c r="AD63" s="15"/>
      <c r="AE63" s="15"/>
      <c r="AF63" s="15"/>
      <c r="AG63" s="29"/>
      <c r="AH63" s="1" t="s">
        <v>86</v>
      </c>
      <c r="AJ63" t="s">
        <v>1049</v>
      </c>
      <c r="AL63" s="1" t="s">
        <v>86</v>
      </c>
      <c r="AM63" s="15"/>
      <c r="AN63" t="b">
        <f>R63=AM63</f>
        <v>1</v>
      </c>
    </row>
    <row r="64" spans="1:54">
      <c r="A64" s="1">
        <v>316</v>
      </c>
      <c r="B64" s="1" t="s">
        <v>172</v>
      </c>
      <c r="C64" s="2" t="s">
        <v>129</v>
      </c>
      <c r="D64" s="2" t="s">
        <v>129</v>
      </c>
      <c r="E64" s="8" t="s">
        <v>129</v>
      </c>
      <c r="F64" s="8" t="s">
        <v>129</v>
      </c>
      <c r="G64" s="1" t="s">
        <v>172</v>
      </c>
      <c r="H64" s="1"/>
      <c r="I64" s="1" t="s">
        <v>4</v>
      </c>
      <c r="J64" s="1">
        <v>4</v>
      </c>
      <c r="K64" s="1" t="str">
        <f>CONCATENATE(I64,J64)</f>
        <v>N4</v>
      </c>
      <c r="L64" s="1" t="s">
        <v>359</v>
      </c>
      <c r="M64" s="1">
        <v>126</v>
      </c>
      <c r="N64">
        <v>63</v>
      </c>
      <c r="O64" s="6" t="s">
        <v>368</v>
      </c>
      <c r="Q64" s="1" t="s">
        <v>172</v>
      </c>
      <c r="R64" s="15"/>
      <c r="T64" s="2" t="s">
        <v>129</v>
      </c>
      <c r="U64" s="2" t="s">
        <v>129</v>
      </c>
      <c r="V64" s="15" t="s">
        <v>760</v>
      </c>
      <c r="W64" s="18" t="e">
        <f>T64-U64</f>
        <v>#VALUE!</v>
      </c>
      <c r="X64" s="30"/>
      <c r="Y64" s="30"/>
      <c r="Z64" s="1" t="s">
        <v>172</v>
      </c>
      <c r="AA64" s="15"/>
      <c r="AB64" s="15"/>
      <c r="AC64" s="15"/>
      <c r="AD64" s="15"/>
      <c r="AE64" s="15"/>
      <c r="AF64" s="15"/>
      <c r="AG64" s="29"/>
      <c r="AH64" s="1" t="s">
        <v>129</v>
      </c>
      <c r="AJ64" t="s">
        <v>1049</v>
      </c>
      <c r="AL64" s="1" t="s">
        <v>129</v>
      </c>
      <c r="AM64" s="15"/>
      <c r="AN64" t="b">
        <f>R64=AM64</f>
        <v>1</v>
      </c>
    </row>
    <row r="65" spans="1:40" ht="26.25">
      <c r="A65" s="1">
        <v>7</v>
      </c>
      <c r="B65" s="1" t="s">
        <v>9</v>
      </c>
      <c r="C65" s="2" t="s">
        <v>129</v>
      </c>
      <c r="D65" s="2">
        <v>19.652000000000001</v>
      </c>
      <c r="E65" s="8" t="s">
        <v>129</v>
      </c>
      <c r="F65" s="8" t="s">
        <v>366</v>
      </c>
      <c r="G65" s="1" t="s">
        <v>129</v>
      </c>
      <c r="H65" s="1"/>
      <c r="I65" s="1" t="s">
        <v>342</v>
      </c>
      <c r="J65" s="1">
        <v>7</v>
      </c>
      <c r="K65" s="1" t="str">
        <f>CONCATENATE(I65,J65)</f>
        <v>A7</v>
      </c>
      <c r="L65" s="1" t="s">
        <v>358</v>
      </c>
      <c r="M65" s="1">
        <v>49</v>
      </c>
      <c r="N65">
        <v>97</v>
      </c>
      <c r="O65" s="7" t="s">
        <v>369</v>
      </c>
      <c r="Q65" s="1" t="s">
        <v>9</v>
      </c>
      <c r="R65" s="15" t="s">
        <v>695</v>
      </c>
      <c r="T65" s="2" t="s">
        <v>129</v>
      </c>
      <c r="U65" s="2">
        <v>19.652000000000001</v>
      </c>
      <c r="V65" s="15" t="s">
        <v>1030</v>
      </c>
      <c r="W65" s="18" t="e">
        <f>T65-U65</f>
        <v>#VALUE!</v>
      </c>
      <c r="X65" s="15"/>
      <c r="Y65" s="15"/>
      <c r="Z65" s="1" t="s">
        <v>129</v>
      </c>
      <c r="AA65" s="15"/>
      <c r="AB65" s="15"/>
      <c r="AC65" s="15"/>
      <c r="AD65" s="15"/>
      <c r="AE65" s="15"/>
      <c r="AF65" s="15"/>
      <c r="AG65" s="29"/>
      <c r="AH65" s="1" t="s">
        <v>129</v>
      </c>
      <c r="AJ65" s="7" t="s">
        <v>1050</v>
      </c>
      <c r="AL65" s="1" t="s">
        <v>9</v>
      </c>
      <c r="AM65" s="15" t="s">
        <v>695</v>
      </c>
      <c r="AN65" t="b">
        <f>R65=AM65</f>
        <v>1</v>
      </c>
    </row>
    <row r="66" spans="1:40" ht="26.25">
      <c r="A66" s="1">
        <v>55</v>
      </c>
      <c r="B66" s="1" t="s">
        <v>53</v>
      </c>
      <c r="C66" s="2" t="s">
        <v>129</v>
      </c>
      <c r="D66" s="2">
        <v>21.074000000000002</v>
      </c>
      <c r="E66" s="8" t="s">
        <v>129</v>
      </c>
      <c r="F66" s="8" t="s">
        <v>203</v>
      </c>
      <c r="G66" s="1" t="s">
        <v>129</v>
      </c>
      <c r="H66" s="1"/>
      <c r="I66" s="1" t="s">
        <v>344</v>
      </c>
      <c r="J66" s="1">
        <v>7</v>
      </c>
      <c r="K66" s="1" t="str">
        <f>CONCATENATE(I66,J66)</f>
        <v>C7</v>
      </c>
      <c r="L66" s="1" t="s">
        <v>358</v>
      </c>
      <c r="M66" s="1">
        <v>51</v>
      </c>
      <c r="N66">
        <v>98</v>
      </c>
      <c r="O66" s="7" t="s">
        <v>369</v>
      </c>
      <c r="Q66" s="1" t="s">
        <v>53</v>
      </c>
      <c r="R66" s="15" t="s">
        <v>633</v>
      </c>
      <c r="T66" s="2" t="s">
        <v>129</v>
      </c>
      <c r="U66" s="2">
        <v>21.074000000000002</v>
      </c>
      <c r="V66" s="15" t="s">
        <v>968</v>
      </c>
      <c r="W66" s="18" t="e">
        <f>T66-U66</f>
        <v>#VALUE!</v>
      </c>
      <c r="X66" s="15"/>
      <c r="Y66" s="15"/>
      <c r="Z66" s="1" t="s">
        <v>129</v>
      </c>
      <c r="AA66" s="15"/>
      <c r="AB66" s="15"/>
      <c r="AC66" s="15"/>
      <c r="AD66" s="15"/>
      <c r="AE66" s="15"/>
      <c r="AF66" s="15"/>
      <c r="AG66" s="29"/>
      <c r="AH66" s="1" t="s">
        <v>129</v>
      </c>
      <c r="AJ66" s="7" t="s">
        <v>1050</v>
      </c>
      <c r="AL66" s="1" t="s">
        <v>53</v>
      </c>
      <c r="AM66" s="15" t="s">
        <v>633</v>
      </c>
      <c r="AN66" t="b">
        <f>R66=AM66</f>
        <v>1</v>
      </c>
    </row>
    <row r="67" spans="1:40" ht="26.25">
      <c r="A67" s="1">
        <v>103</v>
      </c>
      <c r="B67" s="1" t="s">
        <v>97</v>
      </c>
      <c r="C67" s="2">
        <v>32.908999999999999</v>
      </c>
      <c r="D67" s="2">
        <v>20.097999999999999</v>
      </c>
      <c r="E67" s="8" t="s">
        <v>366</v>
      </c>
      <c r="F67" s="8" t="s">
        <v>203</v>
      </c>
      <c r="G67" s="1" t="s">
        <v>129</v>
      </c>
      <c r="H67" s="1"/>
      <c r="I67" s="1" t="s">
        <v>346</v>
      </c>
      <c r="J67" s="1">
        <v>7</v>
      </c>
      <c r="K67" s="1" t="str">
        <f>CONCATENATE(I67,J67)</f>
        <v>E7</v>
      </c>
      <c r="L67" s="1" t="s">
        <v>358</v>
      </c>
      <c r="M67" s="1">
        <v>53</v>
      </c>
      <c r="N67">
        <v>99</v>
      </c>
      <c r="O67" s="7" t="s">
        <v>369</v>
      </c>
      <c r="Q67" s="1" t="s">
        <v>97</v>
      </c>
      <c r="R67" s="15" t="s">
        <v>584</v>
      </c>
      <c r="T67" s="2">
        <v>32.908999999999999</v>
      </c>
      <c r="U67" s="2">
        <v>20.097999999999999</v>
      </c>
      <c r="V67" s="15" t="s">
        <v>919</v>
      </c>
      <c r="W67" s="18">
        <f>T67-U67</f>
        <v>12.811</v>
      </c>
      <c r="X67" s="15"/>
      <c r="Y67" s="15"/>
      <c r="Z67" s="1" t="s">
        <v>129</v>
      </c>
      <c r="AA67" s="15"/>
      <c r="AB67" s="15"/>
      <c r="AC67" s="15"/>
      <c r="AD67" s="15"/>
      <c r="AE67" s="15"/>
      <c r="AF67" s="15"/>
      <c r="AG67" s="29"/>
      <c r="AH67" s="1" t="s">
        <v>86</v>
      </c>
      <c r="AJ67" s="7" t="s">
        <v>1050</v>
      </c>
      <c r="AL67" s="1" t="s">
        <v>97</v>
      </c>
      <c r="AM67" s="15" t="s">
        <v>584</v>
      </c>
      <c r="AN67" t="b">
        <f t="shared" ref="AN67:AN130" si="0">R67=AM67</f>
        <v>1</v>
      </c>
    </row>
    <row r="68" spans="1:40" ht="26.25">
      <c r="A68" s="1">
        <v>151</v>
      </c>
      <c r="B68" s="1" t="s">
        <v>140</v>
      </c>
      <c r="C68" s="2">
        <v>21.149000000000001</v>
      </c>
      <c r="D68" s="2">
        <v>20.314</v>
      </c>
      <c r="E68" s="8" t="s">
        <v>203</v>
      </c>
      <c r="F68" s="8" t="s">
        <v>203</v>
      </c>
      <c r="G68" s="1" t="s">
        <v>203</v>
      </c>
      <c r="H68" s="1"/>
      <c r="I68" s="1" t="s">
        <v>348</v>
      </c>
      <c r="J68" s="1">
        <v>7</v>
      </c>
      <c r="K68" s="1" t="str">
        <f>CONCATENATE(I68,J68)</f>
        <v>G7</v>
      </c>
      <c r="L68" s="1" t="s">
        <v>358</v>
      </c>
      <c r="M68" s="1">
        <v>55</v>
      </c>
      <c r="N68">
        <v>100</v>
      </c>
      <c r="O68" s="7" t="s">
        <v>369</v>
      </c>
      <c r="Q68" s="1" t="s">
        <v>140</v>
      </c>
      <c r="R68" s="15" t="s">
        <v>447</v>
      </c>
      <c r="T68" s="2">
        <v>21.149000000000001</v>
      </c>
      <c r="U68" s="2">
        <v>20.314</v>
      </c>
      <c r="V68" s="15" t="s">
        <v>781</v>
      </c>
      <c r="W68" s="18">
        <f>T68-U68</f>
        <v>0.83500000000000085</v>
      </c>
      <c r="X68" s="30">
        <v>486.66</v>
      </c>
      <c r="Y68" s="30">
        <f>(X68-122)/3</f>
        <v>121.55333333333334</v>
      </c>
      <c r="Z68" s="1" t="s">
        <v>203</v>
      </c>
      <c r="AA68" s="15"/>
      <c r="AB68" s="15"/>
      <c r="AC68" s="15"/>
      <c r="AD68" s="15"/>
      <c r="AE68" s="15">
        <v>10137</v>
      </c>
      <c r="AF68" s="15"/>
      <c r="AG68" s="29"/>
      <c r="AH68" s="1" t="s">
        <v>129</v>
      </c>
      <c r="AJ68" s="7" t="s">
        <v>1050</v>
      </c>
      <c r="AL68" s="1" t="s">
        <v>140</v>
      </c>
      <c r="AM68" s="15" t="s">
        <v>447</v>
      </c>
      <c r="AN68" t="b">
        <f t="shared" si="0"/>
        <v>1</v>
      </c>
    </row>
    <row r="69" spans="1:40" ht="26.25">
      <c r="A69" s="1">
        <v>199</v>
      </c>
      <c r="B69" s="1" t="s">
        <v>183</v>
      </c>
      <c r="C69" s="2">
        <v>23.526</v>
      </c>
      <c r="D69" s="2">
        <v>22.902000000000001</v>
      </c>
      <c r="E69" s="8" t="s">
        <v>203</v>
      </c>
      <c r="F69" s="8" t="s">
        <v>203</v>
      </c>
      <c r="G69" s="1" t="s">
        <v>203</v>
      </c>
      <c r="H69" s="1"/>
      <c r="I69" s="1" t="s">
        <v>350</v>
      </c>
      <c r="J69" s="1">
        <v>7</v>
      </c>
      <c r="K69" s="1" t="str">
        <f>CONCATENATE(I69,J69)</f>
        <v>I7</v>
      </c>
      <c r="L69" s="1" t="s">
        <v>359</v>
      </c>
      <c r="M69" s="1">
        <v>145</v>
      </c>
      <c r="N69">
        <v>101</v>
      </c>
      <c r="O69" s="7" t="s">
        <v>369</v>
      </c>
      <c r="Q69" s="1" t="s">
        <v>183</v>
      </c>
      <c r="R69" s="15" t="s">
        <v>448</v>
      </c>
      <c r="T69" s="2">
        <v>23.526</v>
      </c>
      <c r="U69" s="2">
        <v>22.902000000000001</v>
      </c>
      <c r="V69" s="15" t="s">
        <v>782</v>
      </c>
      <c r="W69" s="18">
        <f>T69-U69</f>
        <v>0.62399999999999878</v>
      </c>
      <c r="X69" s="30">
        <v>427.73</v>
      </c>
      <c r="Y69" s="30">
        <f>(X69-122)/3</f>
        <v>101.91000000000001</v>
      </c>
      <c r="Z69" s="1" t="s">
        <v>203</v>
      </c>
      <c r="AA69" s="15"/>
      <c r="AB69" s="15"/>
      <c r="AC69" s="15"/>
      <c r="AD69" s="15"/>
      <c r="AE69" s="15">
        <v>15842</v>
      </c>
      <c r="AF69" s="15"/>
      <c r="AG69" s="29"/>
      <c r="AH69" s="1" t="s">
        <v>129</v>
      </c>
      <c r="AJ69" s="7" t="s">
        <v>1050</v>
      </c>
      <c r="AL69" s="1" t="s">
        <v>183</v>
      </c>
      <c r="AM69" s="15" t="s">
        <v>448</v>
      </c>
      <c r="AN69" t="b">
        <f t="shared" si="0"/>
        <v>1</v>
      </c>
    </row>
    <row r="70" spans="1:40" ht="26.25">
      <c r="A70" s="1">
        <v>247</v>
      </c>
      <c r="B70" s="1" t="s">
        <v>224</v>
      </c>
      <c r="C70" s="2">
        <v>36.783000000000001</v>
      </c>
      <c r="D70" s="2">
        <v>20.571999999999999</v>
      </c>
      <c r="E70" s="8" t="s">
        <v>366</v>
      </c>
      <c r="F70" s="8" t="s">
        <v>203</v>
      </c>
      <c r="G70" s="1" t="s">
        <v>129</v>
      </c>
      <c r="H70" s="1"/>
      <c r="I70" s="1" t="s">
        <v>352</v>
      </c>
      <c r="J70" s="1">
        <v>7</v>
      </c>
      <c r="K70" s="1" t="str">
        <f>CONCATENATE(I70,J70)</f>
        <v>K7</v>
      </c>
      <c r="L70" s="1" t="s">
        <v>359</v>
      </c>
      <c r="M70" s="1">
        <v>147</v>
      </c>
      <c r="N70">
        <v>102</v>
      </c>
      <c r="O70" s="7" t="s">
        <v>369</v>
      </c>
      <c r="Q70" s="1" t="s">
        <v>224</v>
      </c>
      <c r="R70" s="15" t="s">
        <v>585</v>
      </c>
      <c r="T70" s="2">
        <v>36.783000000000001</v>
      </c>
      <c r="U70" s="2">
        <v>20.571999999999999</v>
      </c>
      <c r="V70" s="15" t="s">
        <v>920</v>
      </c>
      <c r="W70" s="18">
        <f>T70-U70</f>
        <v>16.211000000000002</v>
      </c>
      <c r="X70" s="15"/>
      <c r="Y70" s="15"/>
      <c r="Z70" s="1" t="s">
        <v>129</v>
      </c>
      <c r="AA70" s="15"/>
      <c r="AB70" s="15"/>
      <c r="AC70" s="15"/>
      <c r="AD70" s="15"/>
      <c r="AE70" s="15"/>
      <c r="AF70" s="15"/>
      <c r="AG70" s="29"/>
      <c r="AH70" s="1" t="s">
        <v>129</v>
      </c>
      <c r="AJ70" s="7" t="s">
        <v>1050</v>
      </c>
      <c r="AL70" s="1" t="s">
        <v>224</v>
      </c>
      <c r="AM70" s="15" t="s">
        <v>585</v>
      </c>
      <c r="AN70" t="b">
        <f t="shared" si="0"/>
        <v>1</v>
      </c>
    </row>
    <row r="71" spans="1:40" ht="26.25">
      <c r="A71" s="1">
        <v>295</v>
      </c>
      <c r="B71" s="1" t="s">
        <v>264</v>
      </c>
      <c r="C71" s="2" t="s">
        <v>129</v>
      </c>
      <c r="D71" s="2">
        <v>22.445</v>
      </c>
      <c r="E71" s="8" t="s">
        <v>129</v>
      </c>
      <c r="F71" s="8" t="s">
        <v>203</v>
      </c>
      <c r="G71" s="1" t="s">
        <v>129</v>
      </c>
      <c r="H71" s="1"/>
      <c r="I71" s="1" t="s">
        <v>353</v>
      </c>
      <c r="J71" s="1">
        <v>7</v>
      </c>
      <c r="K71" s="1" t="str">
        <f>CONCATENATE(I71,J71)</f>
        <v>M7</v>
      </c>
      <c r="L71" s="1" t="s">
        <v>359</v>
      </c>
      <c r="M71" s="1">
        <v>149</v>
      </c>
      <c r="N71">
        <v>103</v>
      </c>
      <c r="O71" s="7" t="s">
        <v>369</v>
      </c>
      <c r="Q71" s="1" t="s">
        <v>264</v>
      </c>
      <c r="R71" s="15" t="s">
        <v>634</v>
      </c>
      <c r="T71" s="2" t="s">
        <v>129</v>
      </c>
      <c r="U71" s="2">
        <v>22.445</v>
      </c>
      <c r="V71" s="15" t="s">
        <v>969</v>
      </c>
      <c r="W71" s="18" t="e">
        <f>T71-U71</f>
        <v>#VALUE!</v>
      </c>
      <c r="X71" s="15"/>
      <c r="Y71" s="15"/>
      <c r="Z71" s="1" t="s">
        <v>129</v>
      </c>
      <c r="AA71" s="15"/>
      <c r="AB71" s="15"/>
      <c r="AC71" s="15"/>
      <c r="AD71" s="15"/>
      <c r="AE71" s="15"/>
      <c r="AF71" s="15"/>
      <c r="AG71" s="29"/>
      <c r="AH71" s="1" t="s">
        <v>86</v>
      </c>
      <c r="AJ71" s="7" t="s">
        <v>1050</v>
      </c>
      <c r="AL71" s="1" t="s">
        <v>264</v>
      </c>
      <c r="AM71" s="15" t="s">
        <v>634</v>
      </c>
      <c r="AN71" t="b">
        <f t="shared" si="0"/>
        <v>1</v>
      </c>
    </row>
    <row r="72" spans="1:40" ht="26.25">
      <c r="A72" s="1">
        <v>343</v>
      </c>
      <c r="B72" s="1" t="s">
        <v>303</v>
      </c>
      <c r="C72" s="2">
        <v>20.172000000000001</v>
      </c>
      <c r="D72" s="2">
        <v>19.588000000000001</v>
      </c>
      <c r="E72" s="8" t="s">
        <v>203</v>
      </c>
      <c r="F72" s="8" t="s">
        <v>366</v>
      </c>
      <c r="G72" s="1" t="s">
        <v>203</v>
      </c>
      <c r="H72" s="1"/>
      <c r="I72" s="1" t="s">
        <v>354</v>
      </c>
      <c r="J72" s="1">
        <v>7</v>
      </c>
      <c r="K72" s="1" t="str">
        <f>CONCATENATE(I72,J72)</f>
        <v>O7</v>
      </c>
      <c r="L72" s="1" t="s">
        <v>359</v>
      </c>
      <c r="M72" s="1">
        <v>151</v>
      </c>
      <c r="N72">
        <v>104</v>
      </c>
      <c r="O72" s="7" t="s">
        <v>369</v>
      </c>
      <c r="Q72" s="1" t="s">
        <v>303</v>
      </c>
      <c r="R72" s="15" t="s">
        <v>579</v>
      </c>
      <c r="T72" s="2">
        <v>20.172000000000001</v>
      </c>
      <c r="U72" s="2">
        <v>19.588000000000001</v>
      </c>
      <c r="V72" s="15" t="s">
        <v>914</v>
      </c>
      <c r="W72" s="18">
        <f>T72-U72</f>
        <v>0.58399999999999963</v>
      </c>
      <c r="X72" s="30">
        <v>489.3</v>
      </c>
      <c r="Y72" s="30">
        <f>(X72-122)/3</f>
        <v>122.43333333333334</v>
      </c>
      <c r="Z72" s="1" t="s">
        <v>203</v>
      </c>
      <c r="AA72" s="15"/>
      <c r="AB72" s="15"/>
      <c r="AC72" s="15"/>
      <c r="AD72" s="15"/>
      <c r="AE72" s="15">
        <v>11265</v>
      </c>
      <c r="AF72" s="15"/>
      <c r="AG72" s="29"/>
      <c r="AH72" s="1" t="s">
        <v>86</v>
      </c>
      <c r="AJ72" s="7" t="s">
        <v>1050</v>
      </c>
      <c r="AL72" s="1" t="s">
        <v>303</v>
      </c>
      <c r="AM72" s="15" t="s">
        <v>579</v>
      </c>
      <c r="AN72" t="b">
        <f t="shared" si="0"/>
        <v>1</v>
      </c>
    </row>
    <row r="73" spans="1:40" ht="26.25">
      <c r="A73" s="1">
        <v>31</v>
      </c>
      <c r="B73" s="1" t="s">
        <v>31</v>
      </c>
      <c r="C73" s="2">
        <v>21.94</v>
      </c>
      <c r="D73" s="2">
        <v>21.396999999999998</v>
      </c>
      <c r="E73" s="8" t="s">
        <v>203</v>
      </c>
      <c r="F73" s="8" t="s">
        <v>203</v>
      </c>
      <c r="G73" s="1" t="s">
        <v>203</v>
      </c>
      <c r="H73" s="1"/>
      <c r="I73" s="1" t="s">
        <v>343</v>
      </c>
      <c r="J73" s="1">
        <v>7</v>
      </c>
      <c r="K73" s="1" t="str">
        <f>CONCATENATE(I73,J73)</f>
        <v>B7</v>
      </c>
      <c r="L73" s="1" t="s">
        <v>358</v>
      </c>
      <c r="M73" s="1">
        <v>50</v>
      </c>
      <c r="N73">
        <v>105</v>
      </c>
      <c r="O73" s="7" t="s">
        <v>369</v>
      </c>
      <c r="Q73" s="1" t="s">
        <v>31</v>
      </c>
      <c r="R73" s="15" t="s">
        <v>449</v>
      </c>
      <c r="T73" s="2">
        <v>21.94</v>
      </c>
      <c r="U73" s="2">
        <v>21.396999999999998</v>
      </c>
      <c r="V73" s="15" t="s">
        <v>783</v>
      </c>
      <c r="W73" s="18">
        <f>T73-U73</f>
        <v>0.54300000000000281</v>
      </c>
      <c r="X73" s="30">
        <v>483.81</v>
      </c>
      <c r="Y73" s="30">
        <f>(X73-122)/3</f>
        <v>120.60333333333334</v>
      </c>
      <c r="Z73" s="1" t="s">
        <v>203</v>
      </c>
      <c r="AA73" s="15"/>
      <c r="AB73" s="15"/>
      <c r="AC73" s="15"/>
      <c r="AD73" s="15"/>
      <c r="AE73" s="15">
        <v>6672</v>
      </c>
      <c r="AF73" s="15"/>
      <c r="AG73" s="29"/>
      <c r="AH73" s="1" t="s">
        <v>129</v>
      </c>
      <c r="AJ73" s="7" t="s">
        <v>1050</v>
      </c>
      <c r="AL73" s="1" t="s">
        <v>31</v>
      </c>
      <c r="AM73" s="15" t="s">
        <v>449</v>
      </c>
      <c r="AN73" t="b">
        <f t="shared" si="0"/>
        <v>1</v>
      </c>
    </row>
    <row r="74" spans="1:40" ht="26.25">
      <c r="A74" s="1">
        <v>79</v>
      </c>
      <c r="B74" s="1" t="s">
        <v>75</v>
      </c>
      <c r="C74" s="2">
        <v>21.300999999999998</v>
      </c>
      <c r="D74" s="2">
        <v>20.827000000000002</v>
      </c>
      <c r="E74" s="8" t="s">
        <v>203</v>
      </c>
      <c r="F74" s="8" t="s">
        <v>203</v>
      </c>
      <c r="G74" s="1" t="s">
        <v>203</v>
      </c>
      <c r="H74" s="1"/>
      <c r="I74" s="1" t="s">
        <v>345</v>
      </c>
      <c r="J74" s="1">
        <v>7</v>
      </c>
      <c r="K74" s="1" t="str">
        <f>CONCATENATE(I74,J74)</f>
        <v>D7</v>
      </c>
      <c r="L74" s="1" t="s">
        <v>358</v>
      </c>
      <c r="M74" s="1">
        <v>52</v>
      </c>
      <c r="N74">
        <v>106</v>
      </c>
      <c r="O74" s="7" t="s">
        <v>369</v>
      </c>
      <c r="Q74" s="1" t="s">
        <v>75</v>
      </c>
      <c r="R74" s="15" t="s">
        <v>450</v>
      </c>
      <c r="T74" s="2">
        <v>21.300999999999998</v>
      </c>
      <c r="U74" s="2">
        <v>20.827000000000002</v>
      </c>
      <c r="V74" s="15" t="s">
        <v>784</v>
      </c>
      <c r="W74" s="18">
        <f>T74-U74</f>
        <v>0.47399999999999665</v>
      </c>
      <c r="X74" s="30">
        <v>486.85</v>
      </c>
      <c r="Y74" s="30">
        <f>(X74-122)/3</f>
        <v>121.61666666666667</v>
      </c>
      <c r="Z74" s="1" t="s">
        <v>203</v>
      </c>
      <c r="AA74" s="15"/>
      <c r="AB74" s="15"/>
      <c r="AC74" s="15"/>
      <c r="AD74" s="15"/>
      <c r="AE74" s="15">
        <v>9328</v>
      </c>
      <c r="AF74" s="15"/>
      <c r="AG74" s="29"/>
      <c r="AH74" s="1" t="s">
        <v>129</v>
      </c>
      <c r="AJ74" s="7" t="s">
        <v>1050</v>
      </c>
      <c r="AL74" s="1" t="s">
        <v>75</v>
      </c>
      <c r="AM74" s="15" t="s">
        <v>450</v>
      </c>
      <c r="AN74" t="b">
        <f t="shared" si="0"/>
        <v>1</v>
      </c>
    </row>
    <row r="75" spans="1:40" ht="26.25">
      <c r="A75" s="1">
        <v>127</v>
      </c>
      <c r="B75" s="1" t="s">
        <v>118</v>
      </c>
      <c r="C75" s="2">
        <v>20.838000000000001</v>
      </c>
      <c r="D75" s="2">
        <v>20.234999999999999</v>
      </c>
      <c r="E75" s="8" t="s">
        <v>203</v>
      </c>
      <c r="F75" s="8" t="s">
        <v>203</v>
      </c>
      <c r="G75" s="1" t="s">
        <v>203</v>
      </c>
      <c r="H75" s="1"/>
      <c r="I75" s="1" t="s">
        <v>347</v>
      </c>
      <c r="J75" s="1">
        <v>7</v>
      </c>
      <c r="K75" s="1" t="str">
        <f>CONCATENATE(I75,J75)</f>
        <v>F7</v>
      </c>
      <c r="L75" s="1" t="s">
        <v>358</v>
      </c>
      <c r="M75" s="1">
        <v>54</v>
      </c>
      <c r="N75">
        <v>107</v>
      </c>
      <c r="O75" s="7" t="s">
        <v>369</v>
      </c>
      <c r="Q75" s="1" t="s">
        <v>118</v>
      </c>
      <c r="R75" s="15" t="s">
        <v>451</v>
      </c>
      <c r="T75" s="2">
        <v>20.838000000000001</v>
      </c>
      <c r="U75" s="2">
        <v>20.234999999999999</v>
      </c>
      <c r="V75" s="15" t="s">
        <v>785</v>
      </c>
      <c r="W75" s="18">
        <f>T75-U75</f>
        <v>0.60300000000000153</v>
      </c>
      <c r="X75" s="30">
        <v>484</v>
      </c>
      <c r="Y75" s="30">
        <f>(X75-122)/3</f>
        <v>120.66666666666667</v>
      </c>
      <c r="Z75" s="1" t="s">
        <v>203</v>
      </c>
      <c r="AA75" s="15"/>
      <c r="AB75" s="15"/>
      <c r="AC75" s="15"/>
      <c r="AD75" s="15"/>
      <c r="AE75" s="15">
        <v>12459</v>
      </c>
      <c r="AF75" s="15"/>
      <c r="AG75" s="29"/>
      <c r="AH75" s="1" t="s">
        <v>86</v>
      </c>
      <c r="AJ75" s="7" t="s">
        <v>1050</v>
      </c>
      <c r="AL75" s="1" t="s">
        <v>118</v>
      </c>
      <c r="AM75" s="15" t="s">
        <v>451</v>
      </c>
      <c r="AN75" t="b">
        <f t="shared" si="0"/>
        <v>1</v>
      </c>
    </row>
    <row r="76" spans="1:40" ht="26.25">
      <c r="A76" s="1">
        <v>175</v>
      </c>
      <c r="B76" s="1" t="s">
        <v>161</v>
      </c>
      <c r="C76" s="2">
        <v>32.899000000000001</v>
      </c>
      <c r="D76" s="2">
        <v>20.887</v>
      </c>
      <c r="E76" s="8" t="s">
        <v>366</v>
      </c>
      <c r="F76" s="8" t="s">
        <v>203</v>
      </c>
      <c r="G76" s="1" t="s">
        <v>129</v>
      </c>
      <c r="H76" s="1"/>
      <c r="I76" s="1" t="s">
        <v>349</v>
      </c>
      <c r="J76" s="1">
        <v>7</v>
      </c>
      <c r="K76" s="1" t="str">
        <f>CONCATENATE(I76,J76)</f>
        <v>H7</v>
      </c>
      <c r="L76" s="1" t="s">
        <v>358</v>
      </c>
      <c r="M76" s="1">
        <v>56</v>
      </c>
      <c r="N76">
        <v>108</v>
      </c>
      <c r="O76" s="7" t="s">
        <v>369</v>
      </c>
      <c r="Q76" s="1" t="s">
        <v>161</v>
      </c>
      <c r="R76" s="15" t="s">
        <v>586</v>
      </c>
      <c r="T76" s="2">
        <v>32.899000000000001</v>
      </c>
      <c r="U76" s="2">
        <v>20.887</v>
      </c>
      <c r="V76" s="15" t="s">
        <v>921</v>
      </c>
      <c r="W76" s="18">
        <f>T76-U76</f>
        <v>12.012</v>
      </c>
      <c r="X76" s="15"/>
      <c r="Y76" s="15"/>
      <c r="Z76" s="1" t="s">
        <v>129</v>
      </c>
      <c r="AA76" s="15"/>
      <c r="AB76" s="15"/>
      <c r="AC76" s="15"/>
      <c r="AD76" s="15"/>
      <c r="AE76" s="15"/>
      <c r="AF76" s="15"/>
      <c r="AG76" s="29"/>
      <c r="AH76" s="1" t="s">
        <v>86</v>
      </c>
      <c r="AJ76" s="7" t="s">
        <v>1050</v>
      </c>
      <c r="AL76" s="1" t="s">
        <v>161</v>
      </c>
      <c r="AM76" s="15" t="s">
        <v>586</v>
      </c>
      <c r="AN76" t="b">
        <f t="shared" si="0"/>
        <v>1</v>
      </c>
    </row>
    <row r="77" spans="1:40" ht="26.25">
      <c r="A77" s="1">
        <v>223</v>
      </c>
      <c r="B77" s="1" t="s">
        <v>204</v>
      </c>
      <c r="C77" s="2">
        <v>24.283999999999999</v>
      </c>
      <c r="D77" s="2">
        <v>23.742999999999999</v>
      </c>
      <c r="E77" s="8" t="s">
        <v>203</v>
      </c>
      <c r="F77" s="8" t="s">
        <v>203</v>
      </c>
      <c r="G77" s="1" t="s">
        <v>203</v>
      </c>
      <c r="H77" s="1"/>
      <c r="I77" s="1" t="s">
        <v>351</v>
      </c>
      <c r="J77" s="1">
        <v>7</v>
      </c>
      <c r="K77" s="1" t="str">
        <f>CONCATENATE(I77,J77)</f>
        <v>J7</v>
      </c>
      <c r="L77" s="1" t="s">
        <v>359</v>
      </c>
      <c r="M77" s="1">
        <v>146</v>
      </c>
      <c r="N77">
        <v>109</v>
      </c>
      <c r="O77" s="7" t="s">
        <v>369</v>
      </c>
      <c r="Q77" s="1" t="s">
        <v>204</v>
      </c>
      <c r="R77" s="15" t="s">
        <v>452</v>
      </c>
      <c r="T77" s="2">
        <v>24.283999999999999</v>
      </c>
      <c r="U77" s="2">
        <v>23.742999999999999</v>
      </c>
      <c r="V77" s="15" t="s">
        <v>786</v>
      </c>
      <c r="W77" s="18">
        <f>T77-U77</f>
        <v>0.54100000000000037</v>
      </c>
      <c r="X77" s="30">
        <v>486.86</v>
      </c>
      <c r="Y77" s="30">
        <f>(X77-122)/3</f>
        <v>121.62</v>
      </c>
      <c r="Z77" s="1" t="s">
        <v>203</v>
      </c>
      <c r="AA77" s="15"/>
      <c r="AB77" s="15"/>
      <c r="AC77" s="15"/>
      <c r="AD77" s="15"/>
      <c r="AE77" s="15">
        <v>8444</v>
      </c>
      <c r="AF77" s="15"/>
      <c r="AG77" s="29"/>
      <c r="AH77" s="1" t="s">
        <v>86</v>
      </c>
      <c r="AJ77" s="7" t="s">
        <v>1050</v>
      </c>
      <c r="AL77" s="1" t="s">
        <v>204</v>
      </c>
      <c r="AM77" s="15" t="s">
        <v>452</v>
      </c>
      <c r="AN77" t="b">
        <f t="shared" si="0"/>
        <v>1</v>
      </c>
    </row>
    <row r="78" spans="1:40" ht="26.25">
      <c r="A78" s="1">
        <v>271</v>
      </c>
      <c r="B78" s="1" t="s">
        <v>244</v>
      </c>
      <c r="C78" s="2" t="s">
        <v>129</v>
      </c>
      <c r="D78" s="2">
        <v>24.024000000000001</v>
      </c>
      <c r="E78" s="8" t="s">
        <v>129</v>
      </c>
      <c r="F78" s="8" t="s">
        <v>203</v>
      </c>
      <c r="G78" s="1" t="s">
        <v>129</v>
      </c>
      <c r="H78" s="1"/>
      <c r="I78" s="1" t="s">
        <v>357</v>
      </c>
      <c r="J78" s="1">
        <v>7</v>
      </c>
      <c r="K78" s="1" t="str">
        <f>CONCATENATE(I78,J78)</f>
        <v>L7</v>
      </c>
      <c r="L78" s="1" t="s">
        <v>359</v>
      </c>
      <c r="M78" s="1">
        <v>148</v>
      </c>
      <c r="N78">
        <v>110</v>
      </c>
      <c r="O78" s="7" t="s">
        <v>369</v>
      </c>
      <c r="Q78" s="1" t="s">
        <v>244</v>
      </c>
      <c r="R78" s="15" t="s">
        <v>635</v>
      </c>
      <c r="T78" s="2" t="s">
        <v>129</v>
      </c>
      <c r="U78" s="2">
        <v>24.024000000000001</v>
      </c>
      <c r="V78" s="15" t="s">
        <v>970</v>
      </c>
      <c r="W78" s="18" t="e">
        <f>T78-U78</f>
        <v>#VALUE!</v>
      </c>
      <c r="X78" s="15"/>
      <c r="Y78" s="15"/>
      <c r="Z78" s="1" t="s">
        <v>129</v>
      </c>
      <c r="AA78" s="15"/>
      <c r="AB78" s="15"/>
      <c r="AC78" s="15"/>
      <c r="AD78" s="15"/>
      <c r="AE78" s="15"/>
      <c r="AF78" s="15"/>
      <c r="AG78" s="29"/>
      <c r="AH78" s="1" t="s">
        <v>129</v>
      </c>
      <c r="AJ78" s="7" t="s">
        <v>1050</v>
      </c>
      <c r="AL78" s="1" t="s">
        <v>244</v>
      </c>
      <c r="AM78" s="15" t="s">
        <v>635</v>
      </c>
      <c r="AN78" t="b">
        <f t="shared" si="0"/>
        <v>1</v>
      </c>
    </row>
    <row r="79" spans="1:40" ht="26.25">
      <c r="A79" s="1">
        <v>319</v>
      </c>
      <c r="B79" s="1" t="s">
        <v>283</v>
      </c>
      <c r="C79" s="2">
        <v>34.548000000000002</v>
      </c>
      <c r="D79" s="2">
        <v>24.138000000000002</v>
      </c>
      <c r="E79" s="8" t="s">
        <v>366</v>
      </c>
      <c r="F79" s="8" t="s">
        <v>203</v>
      </c>
      <c r="G79" s="1" t="s">
        <v>129</v>
      </c>
      <c r="H79" s="1"/>
      <c r="I79" s="1" t="s">
        <v>4</v>
      </c>
      <c r="J79" s="1">
        <v>7</v>
      </c>
      <c r="K79" s="1" t="str">
        <f>CONCATENATE(I79,J79)</f>
        <v>N7</v>
      </c>
      <c r="L79" s="1" t="s">
        <v>359</v>
      </c>
      <c r="M79" s="1">
        <v>150</v>
      </c>
      <c r="N79">
        <v>111</v>
      </c>
      <c r="O79" s="7" t="s">
        <v>369</v>
      </c>
      <c r="Q79" s="1" t="s">
        <v>283</v>
      </c>
      <c r="R79" s="15" t="s">
        <v>587</v>
      </c>
      <c r="T79" s="2">
        <v>34.548000000000002</v>
      </c>
      <c r="U79" s="2">
        <v>24.138000000000002</v>
      </c>
      <c r="V79" s="15" t="s">
        <v>922</v>
      </c>
      <c r="W79" s="18">
        <f>T79-U79</f>
        <v>10.41</v>
      </c>
      <c r="X79" s="15"/>
      <c r="Y79" s="15"/>
      <c r="Z79" s="1" t="s">
        <v>129</v>
      </c>
      <c r="AA79" s="15"/>
      <c r="AB79" s="15"/>
      <c r="AC79" s="15"/>
      <c r="AD79" s="15"/>
      <c r="AE79" s="15"/>
      <c r="AF79" s="15"/>
      <c r="AG79" s="29"/>
      <c r="AH79" s="1" t="s">
        <v>86</v>
      </c>
      <c r="AJ79" s="7" t="s">
        <v>1050</v>
      </c>
      <c r="AL79" s="1" t="s">
        <v>283</v>
      </c>
      <c r="AM79" s="15" t="s">
        <v>587</v>
      </c>
      <c r="AN79" t="b">
        <f t="shared" si="0"/>
        <v>1</v>
      </c>
    </row>
    <row r="80" spans="1:40" ht="26.25">
      <c r="A80" s="1">
        <v>367</v>
      </c>
      <c r="B80" s="1" t="s">
        <v>322</v>
      </c>
      <c r="C80" s="2" t="s">
        <v>129</v>
      </c>
      <c r="D80" s="2">
        <v>22.701000000000001</v>
      </c>
      <c r="E80" s="8" t="s">
        <v>129</v>
      </c>
      <c r="F80" s="8" t="s">
        <v>203</v>
      </c>
      <c r="G80" s="1" t="s">
        <v>129</v>
      </c>
      <c r="H80" s="1"/>
      <c r="I80" s="1" t="s">
        <v>355</v>
      </c>
      <c r="J80" s="1">
        <v>7</v>
      </c>
      <c r="K80" s="1" t="str">
        <f>CONCATENATE(I80,J80)</f>
        <v>P7</v>
      </c>
      <c r="L80" s="1" t="s">
        <v>359</v>
      </c>
      <c r="M80" s="1">
        <v>152</v>
      </c>
      <c r="N80">
        <v>112</v>
      </c>
      <c r="O80" s="7" t="s">
        <v>369</v>
      </c>
      <c r="Q80" s="1" t="s">
        <v>322</v>
      </c>
      <c r="R80" s="15" t="s">
        <v>636</v>
      </c>
      <c r="T80" s="2" t="s">
        <v>129</v>
      </c>
      <c r="U80" s="2">
        <v>22.701000000000001</v>
      </c>
      <c r="V80" s="15" t="s">
        <v>971</v>
      </c>
      <c r="W80" s="18" t="e">
        <f>T80-U80</f>
        <v>#VALUE!</v>
      </c>
      <c r="X80" s="15"/>
      <c r="Y80" s="15"/>
      <c r="Z80" s="1" t="s">
        <v>129</v>
      </c>
      <c r="AA80" s="15"/>
      <c r="AB80" s="15"/>
      <c r="AC80" s="15"/>
      <c r="AD80" s="15"/>
      <c r="AE80" s="15"/>
      <c r="AF80" s="15"/>
      <c r="AG80" s="29"/>
      <c r="AH80" s="1" t="s">
        <v>129</v>
      </c>
      <c r="AJ80" s="7" t="s">
        <v>1050</v>
      </c>
      <c r="AL80" s="1" t="s">
        <v>322</v>
      </c>
      <c r="AM80" s="15" t="s">
        <v>636</v>
      </c>
      <c r="AN80" t="b">
        <f t="shared" si="0"/>
        <v>1</v>
      </c>
    </row>
    <row r="81" spans="1:40" ht="26.25">
      <c r="A81" s="1">
        <v>8</v>
      </c>
      <c r="B81" s="1" t="s">
        <v>10</v>
      </c>
      <c r="C81" s="2">
        <v>24.218</v>
      </c>
      <c r="D81" s="2">
        <v>23.908999999999999</v>
      </c>
      <c r="E81" s="8" t="s">
        <v>203</v>
      </c>
      <c r="F81" s="8" t="s">
        <v>203</v>
      </c>
      <c r="G81" s="1" t="s">
        <v>203</v>
      </c>
      <c r="H81" s="1"/>
      <c r="I81" s="1" t="s">
        <v>342</v>
      </c>
      <c r="J81" s="1">
        <v>8</v>
      </c>
      <c r="K81" s="1" t="str">
        <f>CONCATENATE(I81,J81)</f>
        <v>A8</v>
      </c>
      <c r="L81" s="1" t="s">
        <v>358</v>
      </c>
      <c r="M81" s="1">
        <v>57</v>
      </c>
      <c r="N81">
        <v>113</v>
      </c>
      <c r="O81" s="7" t="s">
        <v>369</v>
      </c>
      <c r="Q81" s="1" t="s">
        <v>10</v>
      </c>
      <c r="R81" s="15" t="s">
        <v>453</v>
      </c>
      <c r="T81" s="2">
        <v>24.218</v>
      </c>
      <c r="U81" s="2">
        <v>23.908999999999999</v>
      </c>
      <c r="V81" s="15" t="s">
        <v>787</v>
      </c>
      <c r="W81" s="18">
        <f>T81-U81</f>
        <v>0.30900000000000105</v>
      </c>
      <c r="X81" s="30">
        <v>466.22</v>
      </c>
      <c r="Y81" s="30">
        <f>(X81-122)/3</f>
        <v>114.74000000000001</v>
      </c>
      <c r="Z81" s="1" t="s">
        <v>203</v>
      </c>
      <c r="AA81" s="15"/>
      <c r="AB81" s="15"/>
      <c r="AC81" s="15"/>
      <c r="AD81" s="15"/>
      <c r="AE81" s="15">
        <v>4450</v>
      </c>
      <c r="AF81" s="15"/>
      <c r="AG81" s="29"/>
      <c r="AH81" s="1" t="s">
        <v>86</v>
      </c>
      <c r="AJ81" s="7" t="s">
        <v>1050</v>
      </c>
      <c r="AL81" s="1" t="s">
        <v>10</v>
      </c>
      <c r="AM81" s="15" t="s">
        <v>453</v>
      </c>
      <c r="AN81" t="b">
        <f t="shared" si="0"/>
        <v>1</v>
      </c>
    </row>
    <row r="82" spans="1:40" ht="26.25">
      <c r="A82" s="1">
        <v>56</v>
      </c>
      <c r="B82" s="1" t="s">
        <v>54</v>
      </c>
      <c r="C82" s="2">
        <v>34.441000000000003</v>
      </c>
      <c r="D82" s="2">
        <v>23.626999999999999</v>
      </c>
      <c r="E82" s="8" t="s">
        <v>366</v>
      </c>
      <c r="F82" s="8" t="s">
        <v>203</v>
      </c>
      <c r="G82" s="1" t="s">
        <v>129</v>
      </c>
      <c r="H82" s="1"/>
      <c r="I82" s="1" t="s">
        <v>344</v>
      </c>
      <c r="J82" s="1">
        <v>8</v>
      </c>
      <c r="K82" s="1" t="str">
        <f>CONCATENATE(I82,J82)</f>
        <v>C8</v>
      </c>
      <c r="L82" s="1" t="s">
        <v>358</v>
      </c>
      <c r="M82" s="1">
        <v>59</v>
      </c>
      <c r="N82">
        <v>114</v>
      </c>
      <c r="O82" s="7" t="s">
        <v>369</v>
      </c>
      <c r="Q82" s="1" t="s">
        <v>54</v>
      </c>
      <c r="R82" s="15" t="s">
        <v>588</v>
      </c>
      <c r="T82" s="2">
        <v>34.441000000000003</v>
      </c>
      <c r="U82" s="2">
        <v>23.626999999999999</v>
      </c>
      <c r="V82" s="15" t="s">
        <v>923</v>
      </c>
      <c r="W82" s="18">
        <f>T82-U82</f>
        <v>10.814000000000004</v>
      </c>
      <c r="X82" s="15"/>
      <c r="Y82" s="15"/>
      <c r="Z82" s="1" t="s">
        <v>129</v>
      </c>
      <c r="AA82" s="15"/>
      <c r="AB82" s="15"/>
      <c r="AC82" s="15"/>
      <c r="AD82" s="15"/>
      <c r="AE82" s="15"/>
      <c r="AF82" s="15"/>
      <c r="AG82" s="29"/>
      <c r="AH82" s="1" t="s">
        <v>86</v>
      </c>
      <c r="AJ82" s="7" t="s">
        <v>1050</v>
      </c>
      <c r="AL82" s="1" t="s">
        <v>54</v>
      </c>
      <c r="AM82" s="15" t="s">
        <v>588</v>
      </c>
      <c r="AN82" t="b">
        <f t="shared" si="0"/>
        <v>1</v>
      </c>
    </row>
    <row r="83" spans="1:40" ht="26.25">
      <c r="A83" s="1">
        <v>104</v>
      </c>
      <c r="B83" s="1" t="s">
        <v>98</v>
      </c>
      <c r="C83" s="2">
        <v>22.937999999999999</v>
      </c>
      <c r="D83" s="2">
        <v>22.66</v>
      </c>
      <c r="E83" s="8" t="s">
        <v>203</v>
      </c>
      <c r="F83" s="8" t="s">
        <v>203</v>
      </c>
      <c r="G83" s="1" t="s">
        <v>203</v>
      </c>
      <c r="H83" s="1"/>
      <c r="I83" s="1" t="s">
        <v>346</v>
      </c>
      <c r="J83" s="1">
        <v>8</v>
      </c>
      <c r="K83" s="1" t="str">
        <f>CONCATENATE(I83,J83)</f>
        <v>E8</v>
      </c>
      <c r="L83" s="1" t="s">
        <v>358</v>
      </c>
      <c r="M83" s="1">
        <v>61</v>
      </c>
      <c r="N83">
        <v>115</v>
      </c>
      <c r="O83" s="7" t="s">
        <v>369</v>
      </c>
      <c r="Q83" s="1" t="s">
        <v>98</v>
      </c>
      <c r="R83" s="15" t="s">
        <v>454</v>
      </c>
      <c r="T83" s="2">
        <v>22.937999999999999</v>
      </c>
      <c r="U83" s="2">
        <v>22.66</v>
      </c>
      <c r="V83" s="15" t="s">
        <v>788</v>
      </c>
      <c r="W83" s="18">
        <f>T83-U83</f>
        <v>0.27799999999999869</v>
      </c>
      <c r="X83" s="30">
        <v>469.33</v>
      </c>
      <c r="Y83" s="30">
        <f>(X83-122)/3</f>
        <v>115.77666666666666</v>
      </c>
      <c r="Z83" s="1" t="s">
        <v>203</v>
      </c>
      <c r="AA83" s="15"/>
      <c r="AB83" s="15"/>
      <c r="AC83" s="15"/>
      <c r="AD83" s="15"/>
      <c r="AE83" s="15">
        <v>9907</v>
      </c>
      <c r="AF83" s="15"/>
      <c r="AG83" s="29"/>
      <c r="AH83" s="1" t="s">
        <v>129</v>
      </c>
      <c r="AJ83" s="7" t="s">
        <v>1050</v>
      </c>
      <c r="AL83" s="1" t="s">
        <v>98</v>
      </c>
      <c r="AM83" s="15" t="s">
        <v>454</v>
      </c>
      <c r="AN83" t="b">
        <f t="shared" si="0"/>
        <v>1</v>
      </c>
    </row>
    <row r="84" spans="1:40" ht="26.25">
      <c r="A84" s="1">
        <v>152</v>
      </c>
      <c r="B84" s="1" t="s">
        <v>141</v>
      </c>
      <c r="C84" s="2">
        <v>31.183</v>
      </c>
      <c r="D84" s="2">
        <v>23.635000000000002</v>
      </c>
      <c r="E84" s="8" t="s">
        <v>203</v>
      </c>
      <c r="F84" s="8" t="s">
        <v>203</v>
      </c>
      <c r="G84" s="1" t="s">
        <v>203</v>
      </c>
      <c r="H84" s="1"/>
      <c r="I84" s="1" t="s">
        <v>348</v>
      </c>
      <c r="J84" s="1">
        <v>8</v>
      </c>
      <c r="K84" s="1" t="str">
        <f>CONCATENATE(I84,J84)</f>
        <v>G8</v>
      </c>
      <c r="L84" s="1" t="s">
        <v>358</v>
      </c>
      <c r="M84" s="1">
        <v>63</v>
      </c>
      <c r="N84">
        <v>116</v>
      </c>
      <c r="O84" s="7" t="s">
        <v>369</v>
      </c>
      <c r="Q84" s="1" t="s">
        <v>141</v>
      </c>
      <c r="R84" s="15" t="s">
        <v>455</v>
      </c>
      <c r="T84" s="2">
        <v>31.183</v>
      </c>
      <c r="U84" s="2">
        <v>23.635000000000002</v>
      </c>
      <c r="V84" s="15" t="s">
        <v>789</v>
      </c>
      <c r="W84" s="18">
        <f>T84-U84</f>
        <v>7.5479999999999983</v>
      </c>
      <c r="X84" s="15"/>
      <c r="Y84" s="15"/>
      <c r="Z84" s="1" t="s">
        <v>129</v>
      </c>
      <c r="AA84" s="15"/>
      <c r="AB84" s="15"/>
      <c r="AC84" s="15"/>
      <c r="AD84" s="15"/>
      <c r="AE84" s="15"/>
      <c r="AF84" s="15"/>
      <c r="AG84" s="29"/>
      <c r="AH84" s="1" t="s">
        <v>129</v>
      </c>
      <c r="AJ84" s="7" t="s">
        <v>1050</v>
      </c>
      <c r="AL84" s="1" t="s">
        <v>141</v>
      </c>
      <c r="AM84" s="15" t="s">
        <v>455</v>
      </c>
      <c r="AN84" t="b">
        <f t="shared" si="0"/>
        <v>1</v>
      </c>
    </row>
    <row r="85" spans="1:40" ht="26.25">
      <c r="A85" s="1">
        <v>200</v>
      </c>
      <c r="B85" s="1" t="s">
        <v>184</v>
      </c>
      <c r="C85" s="2">
        <v>23.535</v>
      </c>
      <c r="D85" s="2">
        <v>23.256</v>
      </c>
      <c r="E85" s="8" t="s">
        <v>203</v>
      </c>
      <c r="F85" s="8" t="s">
        <v>203</v>
      </c>
      <c r="G85" s="1" t="s">
        <v>203</v>
      </c>
      <c r="H85" s="1"/>
      <c r="I85" s="1" t="s">
        <v>350</v>
      </c>
      <c r="J85" s="1">
        <v>8</v>
      </c>
      <c r="K85" s="1" t="str">
        <f>CONCATENATE(I85,J85)</f>
        <v>I8</v>
      </c>
      <c r="L85" s="1" t="s">
        <v>359</v>
      </c>
      <c r="M85" s="1">
        <v>153</v>
      </c>
      <c r="N85">
        <v>117</v>
      </c>
      <c r="O85" s="7" t="s">
        <v>369</v>
      </c>
      <c r="Q85" s="1" t="s">
        <v>184</v>
      </c>
      <c r="R85" s="15" t="s">
        <v>456</v>
      </c>
      <c r="T85" s="2">
        <v>23.535</v>
      </c>
      <c r="U85" s="2">
        <v>23.256</v>
      </c>
      <c r="V85" s="15" t="s">
        <v>790</v>
      </c>
      <c r="W85" s="18">
        <f>T85-U85</f>
        <v>0.27899999999999991</v>
      </c>
      <c r="X85" s="30">
        <v>475.27</v>
      </c>
      <c r="Y85" s="30">
        <f>(X85-122)/3</f>
        <v>117.75666666666666</v>
      </c>
      <c r="Z85" s="1" t="s">
        <v>203</v>
      </c>
      <c r="AA85" s="15"/>
      <c r="AB85" s="15"/>
      <c r="AC85" s="15"/>
      <c r="AD85" s="15"/>
      <c r="AE85" s="15">
        <v>7573</v>
      </c>
      <c r="AF85" s="15"/>
      <c r="AG85" s="29"/>
      <c r="AH85" s="1" t="s">
        <v>129</v>
      </c>
      <c r="AJ85" s="7" t="s">
        <v>1050</v>
      </c>
      <c r="AL85" s="1" t="s">
        <v>184</v>
      </c>
      <c r="AM85" s="15" t="s">
        <v>456</v>
      </c>
      <c r="AN85" t="b">
        <f t="shared" si="0"/>
        <v>1</v>
      </c>
    </row>
    <row r="86" spans="1:40" ht="26.25">
      <c r="A86" s="1">
        <v>248</v>
      </c>
      <c r="B86" s="1" t="s">
        <v>225</v>
      </c>
      <c r="C86" s="2">
        <v>21.648</v>
      </c>
      <c r="D86" s="2">
        <v>21.37</v>
      </c>
      <c r="E86" s="8" t="s">
        <v>203</v>
      </c>
      <c r="F86" s="8" t="s">
        <v>203</v>
      </c>
      <c r="G86" s="1" t="s">
        <v>203</v>
      </c>
      <c r="H86" s="1"/>
      <c r="I86" s="1" t="s">
        <v>352</v>
      </c>
      <c r="J86" s="1">
        <v>8</v>
      </c>
      <c r="K86" s="1" t="str">
        <f>CONCATENATE(I86,J86)</f>
        <v>K8</v>
      </c>
      <c r="L86" s="1" t="s">
        <v>359</v>
      </c>
      <c r="M86" s="1">
        <v>155</v>
      </c>
      <c r="N86">
        <v>118</v>
      </c>
      <c r="O86" s="7" t="s">
        <v>369</v>
      </c>
      <c r="Q86" s="1" t="s">
        <v>225</v>
      </c>
      <c r="R86" s="15" t="s">
        <v>457</v>
      </c>
      <c r="T86" s="2">
        <v>21.648</v>
      </c>
      <c r="U86" s="2">
        <v>21.37</v>
      </c>
      <c r="V86" s="15" t="s">
        <v>791</v>
      </c>
      <c r="W86" s="18">
        <f>T86-U86</f>
        <v>0.27799999999999869</v>
      </c>
      <c r="X86" s="30">
        <v>463.24</v>
      </c>
      <c r="Y86" s="30">
        <f>(X86-122)/3</f>
        <v>113.74666666666667</v>
      </c>
      <c r="Z86" s="1" t="s">
        <v>203</v>
      </c>
      <c r="AA86" s="15"/>
      <c r="AB86" s="15"/>
      <c r="AC86" s="15"/>
      <c r="AD86" s="15"/>
      <c r="AE86" s="15">
        <v>12042</v>
      </c>
      <c r="AF86" s="15"/>
      <c r="AG86" s="29"/>
      <c r="AH86" s="1" t="s">
        <v>129</v>
      </c>
      <c r="AJ86" s="7" t="s">
        <v>1050</v>
      </c>
      <c r="AL86" s="1" t="s">
        <v>225</v>
      </c>
      <c r="AM86" s="15" t="s">
        <v>457</v>
      </c>
      <c r="AN86" t="b">
        <f t="shared" si="0"/>
        <v>1</v>
      </c>
    </row>
    <row r="87" spans="1:40" ht="26.25">
      <c r="A87" s="1">
        <v>296</v>
      </c>
      <c r="B87" s="1" t="s">
        <v>265</v>
      </c>
      <c r="C87" s="2">
        <v>33.08</v>
      </c>
      <c r="D87" s="2">
        <v>23.173999999999999</v>
      </c>
      <c r="E87" s="8" t="s">
        <v>366</v>
      </c>
      <c r="F87" s="8" t="s">
        <v>203</v>
      </c>
      <c r="G87" s="1" t="s">
        <v>129</v>
      </c>
      <c r="H87" s="1"/>
      <c r="I87" s="1" t="s">
        <v>353</v>
      </c>
      <c r="J87" s="1">
        <v>8</v>
      </c>
      <c r="K87" s="1" t="str">
        <f>CONCATENATE(I87,J87)</f>
        <v>M8</v>
      </c>
      <c r="L87" s="1" t="s">
        <v>359</v>
      </c>
      <c r="M87" s="1">
        <v>157</v>
      </c>
      <c r="N87">
        <v>119</v>
      </c>
      <c r="O87" s="7" t="s">
        <v>369</v>
      </c>
      <c r="Q87" s="1" t="s">
        <v>265</v>
      </c>
      <c r="R87" s="15" t="s">
        <v>589</v>
      </c>
      <c r="T87" s="2">
        <v>33.08</v>
      </c>
      <c r="U87" s="2">
        <v>23.173999999999999</v>
      </c>
      <c r="V87" s="15" t="s">
        <v>924</v>
      </c>
      <c r="W87" s="18">
        <f>T87-U87</f>
        <v>9.9059999999999988</v>
      </c>
      <c r="X87" s="15"/>
      <c r="Y87" s="15"/>
      <c r="Z87" s="1" t="s">
        <v>129</v>
      </c>
      <c r="AA87" s="15"/>
      <c r="AB87" s="15"/>
      <c r="AC87" s="15"/>
      <c r="AD87" s="15"/>
      <c r="AE87" s="15"/>
      <c r="AF87" s="15"/>
      <c r="AG87" s="29"/>
      <c r="AH87" s="1" t="s">
        <v>86</v>
      </c>
      <c r="AJ87" s="7" t="s">
        <v>1050</v>
      </c>
      <c r="AL87" s="1" t="s">
        <v>265</v>
      </c>
      <c r="AM87" s="15" t="s">
        <v>589</v>
      </c>
      <c r="AN87" t="b">
        <f t="shared" si="0"/>
        <v>1</v>
      </c>
    </row>
    <row r="88" spans="1:40" ht="26.25">
      <c r="A88" s="1">
        <v>344</v>
      </c>
      <c r="B88" s="1" t="s">
        <v>304</v>
      </c>
      <c r="C88" s="2">
        <v>34.450000000000003</v>
      </c>
      <c r="D88" s="2">
        <v>22.241</v>
      </c>
      <c r="E88" s="8" t="s">
        <v>366</v>
      </c>
      <c r="F88" s="8" t="s">
        <v>203</v>
      </c>
      <c r="G88" s="1" t="s">
        <v>129</v>
      </c>
      <c r="H88" s="1"/>
      <c r="I88" s="1" t="s">
        <v>354</v>
      </c>
      <c r="J88" s="1">
        <v>8</v>
      </c>
      <c r="K88" s="1" t="str">
        <f>CONCATENATE(I88,J88)</f>
        <v>O8</v>
      </c>
      <c r="L88" s="1" t="s">
        <v>359</v>
      </c>
      <c r="M88" s="1">
        <v>159</v>
      </c>
      <c r="N88">
        <v>120</v>
      </c>
      <c r="O88" s="7" t="s">
        <v>369</v>
      </c>
      <c r="Q88" s="1" t="s">
        <v>304</v>
      </c>
      <c r="R88" s="15" t="s">
        <v>590</v>
      </c>
      <c r="T88" s="2">
        <v>34.450000000000003</v>
      </c>
      <c r="U88" s="2">
        <v>22.241</v>
      </c>
      <c r="V88" s="15" t="s">
        <v>925</v>
      </c>
      <c r="W88" s="18">
        <f>T88-U88</f>
        <v>12.209000000000003</v>
      </c>
      <c r="X88" s="15"/>
      <c r="Y88" s="15"/>
      <c r="Z88" s="1" t="s">
        <v>129</v>
      </c>
      <c r="AA88" s="15"/>
      <c r="AB88" s="15"/>
      <c r="AC88" s="15"/>
      <c r="AD88" s="15"/>
      <c r="AE88" s="15"/>
      <c r="AF88" s="15"/>
      <c r="AG88" s="29"/>
      <c r="AH88" s="1" t="s">
        <v>86</v>
      </c>
      <c r="AJ88" s="7" t="s">
        <v>1050</v>
      </c>
      <c r="AL88" s="1" t="s">
        <v>304</v>
      </c>
      <c r="AM88" s="15" t="s">
        <v>590</v>
      </c>
      <c r="AN88" t="b">
        <f t="shared" si="0"/>
        <v>1</v>
      </c>
    </row>
    <row r="89" spans="1:40" ht="26.25">
      <c r="A89" s="1">
        <v>32</v>
      </c>
      <c r="B89" s="1" t="s">
        <v>32</v>
      </c>
      <c r="C89" s="2" t="s">
        <v>129</v>
      </c>
      <c r="D89" s="2">
        <v>20.988</v>
      </c>
      <c r="E89" s="8" t="s">
        <v>129</v>
      </c>
      <c r="F89" s="8" t="s">
        <v>203</v>
      </c>
      <c r="G89" s="1" t="s">
        <v>129</v>
      </c>
      <c r="H89" s="1"/>
      <c r="I89" s="1" t="s">
        <v>343</v>
      </c>
      <c r="J89" s="1">
        <v>8</v>
      </c>
      <c r="K89" s="1" t="str">
        <f>CONCATENATE(I89,J89)</f>
        <v>B8</v>
      </c>
      <c r="L89" s="1" t="s">
        <v>358</v>
      </c>
      <c r="M89" s="1">
        <v>58</v>
      </c>
      <c r="N89">
        <v>121</v>
      </c>
      <c r="O89" s="7" t="s">
        <v>369</v>
      </c>
      <c r="Q89" s="1" t="s">
        <v>32</v>
      </c>
      <c r="R89" s="15" t="s">
        <v>637</v>
      </c>
      <c r="T89" s="2" t="s">
        <v>129</v>
      </c>
      <c r="U89" s="2">
        <v>20.988</v>
      </c>
      <c r="V89" s="15" t="s">
        <v>972</v>
      </c>
      <c r="W89" s="18" t="e">
        <f>T89-U89</f>
        <v>#VALUE!</v>
      </c>
      <c r="X89" s="15"/>
      <c r="Y89" s="15"/>
      <c r="Z89" s="1" t="s">
        <v>129</v>
      </c>
      <c r="AA89" s="15"/>
      <c r="AB89" s="15"/>
      <c r="AC89" s="15"/>
      <c r="AD89" s="15"/>
      <c r="AE89" s="15"/>
      <c r="AF89" s="15"/>
      <c r="AG89" s="29"/>
      <c r="AH89" s="1" t="s">
        <v>129</v>
      </c>
      <c r="AJ89" s="7" t="s">
        <v>1050</v>
      </c>
      <c r="AL89" s="1" t="s">
        <v>32</v>
      </c>
      <c r="AM89" s="15" t="s">
        <v>637</v>
      </c>
      <c r="AN89" t="b">
        <f t="shared" si="0"/>
        <v>1</v>
      </c>
    </row>
    <row r="90" spans="1:40" ht="26.25">
      <c r="A90" s="1">
        <v>80</v>
      </c>
      <c r="B90" s="1" t="s">
        <v>76</v>
      </c>
      <c r="C90" s="2">
        <v>24.744</v>
      </c>
      <c r="D90" s="2">
        <v>24.521000000000001</v>
      </c>
      <c r="E90" s="8" t="s">
        <v>203</v>
      </c>
      <c r="F90" s="8" t="s">
        <v>203</v>
      </c>
      <c r="G90" s="1" t="s">
        <v>203</v>
      </c>
      <c r="H90" s="1"/>
      <c r="I90" s="1" t="s">
        <v>345</v>
      </c>
      <c r="J90" s="1">
        <v>8</v>
      </c>
      <c r="K90" s="1" t="str">
        <f>CONCATENATE(I90,J90)</f>
        <v>D8</v>
      </c>
      <c r="L90" s="1" t="s">
        <v>358</v>
      </c>
      <c r="M90" s="1">
        <v>60</v>
      </c>
      <c r="N90">
        <v>122</v>
      </c>
      <c r="O90" s="7" t="s">
        <v>369</v>
      </c>
      <c r="Q90" s="1" t="s">
        <v>76</v>
      </c>
      <c r="R90" s="15" t="s">
        <v>458</v>
      </c>
      <c r="T90" s="2">
        <v>24.744</v>
      </c>
      <c r="U90" s="2">
        <v>24.521000000000001</v>
      </c>
      <c r="V90" s="15" t="s">
        <v>792</v>
      </c>
      <c r="W90" s="18">
        <f>T90-U90</f>
        <v>0.22299999999999898</v>
      </c>
      <c r="X90" s="30">
        <v>489.8</v>
      </c>
      <c r="Y90" s="30">
        <f>(X90-122)/3</f>
        <v>122.60000000000001</v>
      </c>
      <c r="Z90" s="1" t="s">
        <v>203</v>
      </c>
      <c r="AA90" s="15"/>
      <c r="AB90" s="15"/>
      <c r="AC90" s="15"/>
      <c r="AD90" s="15"/>
      <c r="AE90" s="15">
        <v>4741</v>
      </c>
      <c r="AF90" s="15"/>
      <c r="AG90" s="29"/>
      <c r="AH90" s="1" t="s">
        <v>129</v>
      </c>
      <c r="AJ90" s="7" t="s">
        <v>1050</v>
      </c>
      <c r="AL90" s="1" t="s">
        <v>76</v>
      </c>
      <c r="AM90" s="15" t="s">
        <v>458</v>
      </c>
      <c r="AN90" t="b">
        <f t="shared" si="0"/>
        <v>1</v>
      </c>
    </row>
    <row r="91" spans="1:40" ht="26.25">
      <c r="A91" s="1">
        <v>128</v>
      </c>
      <c r="B91" s="1" t="s">
        <v>119</v>
      </c>
      <c r="C91" s="2">
        <v>23.23</v>
      </c>
      <c r="D91" s="2">
        <v>22.696999999999999</v>
      </c>
      <c r="E91" s="8" t="s">
        <v>203</v>
      </c>
      <c r="F91" s="8" t="s">
        <v>203</v>
      </c>
      <c r="G91" s="1" t="s">
        <v>203</v>
      </c>
      <c r="H91" s="1"/>
      <c r="I91" s="1" t="s">
        <v>347</v>
      </c>
      <c r="J91" s="1">
        <v>8</v>
      </c>
      <c r="K91" s="1" t="str">
        <f>CONCATENATE(I91,J91)</f>
        <v>F8</v>
      </c>
      <c r="L91" s="1" t="s">
        <v>358</v>
      </c>
      <c r="M91" s="1">
        <v>62</v>
      </c>
      <c r="N91">
        <v>123</v>
      </c>
      <c r="O91" s="7" t="s">
        <v>369</v>
      </c>
      <c r="Q91" s="1" t="s">
        <v>119</v>
      </c>
      <c r="R91" s="15" t="s">
        <v>459</v>
      </c>
      <c r="T91" s="2">
        <v>23.23</v>
      </c>
      <c r="U91" s="2">
        <v>22.696999999999999</v>
      </c>
      <c r="V91" s="15" t="s">
        <v>793</v>
      </c>
      <c r="W91" s="18">
        <f>T91-U91</f>
        <v>0.53300000000000125</v>
      </c>
      <c r="X91" s="30">
        <v>489.83</v>
      </c>
      <c r="Y91" s="30">
        <f>(X91-122)/3</f>
        <v>122.61</v>
      </c>
      <c r="Z91" s="1" t="s">
        <v>203</v>
      </c>
      <c r="AA91" s="15"/>
      <c r="AB91" s="15"/>
      <c r="AC91" s="15"/>
      <c r="AD91" s="15"/>
      <c r="AE91" s="15">
        <v>7665</v>
      </c>
      <c r="AF91" s="15"/>
      <c r="AG91" s="29"/>
      <c r="AH91" s="1" t="s">
        <v>86</v>
      </c>
      <c r="AJ91" s="7" t="s">
        <v>1050</v>
      </c>
      <c r="AL91" s="1" t="s">
        <v>119</v>
      </c>
      <c r="AM91" s="15" t="s">
        <v>459</v>
      </c>
      <c r="AN91" t="b">
        <f t="shared" si="0"/>
        <v>1</v>
      </c>
    </row>
    <row r="92" spans="1:40" ht="26.25">
      <c r="A92" s="1">
        <v>176</v>
      </c>
      <c r="B92" s="1" t="s">
        <v>162</v>
      </c>
      <c r="C92" s="2" t="s">
        <v>129</v>
      </c>
      <c r="D92" s="2">
        <v>22.324000000000002</v>
      </c>
      <c r="E92" s="8" t="s">
        <v>129</v>
      </c>
      <c r="F92" s="8" t="s">
        <v>203</v>
      </c>
      <c r="G92" s="1" t="s">
        <v>129</v>
      </c>
      <c r="H92" s="1"/>
      <c r="I92" s="1" t="s">
        <v>349</v>
      </c>
      <c r="J92" s="1">
        <v>8</v>
      </c>
      <c r="K92" s="1" t="str">
        <f>CONCATENATE(I92,J92)</f>
        <v>H8</v>
      </c>
      <c r="L92" s="1" t="s">
        <v>358</v>
      </c>
      <c r="M92" s="1">
        <v>64</v>
      </c>
      <c r="N92">
        <v>124</v>
      </c>
      <c r="O92" s="7" t="s">
        <v>369</v>
      </c>
      <c r="Q92" s="1" t="s">
        <v>162</v>
      </c>
      <c r="R92" s="15" t="s">
        <v>638</v>
      </c>
      <c r="T92" s="2" t="s">
        <v>129</v>
      </c>
      <c r="U92" s="2">
        <v>22.324000000000002</v>
      </c>
      <c r="V92" s="15" t="s">
        <v>973</v>
      </c>
      <c r="W92" s="18" t="e">
        <f>T92-U92</f>
        <v>#VALUE!</v>
      </c>
      <c r="X92" s="15"/>
      <c r="Y92" s="15"/>
      <c r="Z92" s="1" t="s">
        <v>129</v>
      </c>
      <c r="AA92" s="15"/>
      <c r="AB92" s="15"/>
      <c r="AC92" s="15"/>
      <c r="AD92" s="15"/>
      <c r="AE92" s="15"/>
      <c r="AF92" s="15"/>
      <c r="AG92" s="29"/>
      <c r="AH92" s="1" t="s">
        <v>129</v>
      </c>
      <c r="AJ92" s="7" t="s">
        <v>1050</v>
      </c>
      <c r="AL92" s="1" t="s">
        <v>162</v>
      </c>
      <c r="AM92" s="15" t="s">
        <v>638</v>
      </c>
      <c r="AN92" t="b">
        <f t="shared" si="0"/>
        <v>1</v>
      </c>
    </row>
    <row r="93" spans="1:40" ht="26.25">
      <c r="A93" s="1">
        <v>224</v>
      </c>
      <c r="B93" s="1" t="s">
        <v>205</v>
      </c>
      <c r="C93" s="2" t="s">
        <v>129</v>
      </c>
      <c r="D93" s="2">
        <v>24.524000000000001</v>
      </c>
      <c r="E93" s="8" t="s">
        <v>129</v>
      </c>
      <c r="F93" s="8" t="s">
        <v>203</v>
      </c>
      <c r="G93" s="1" t="s">
        <v>129</v>
      </c>
      <c r="H93" s="1"/>
      <c r="I93" s="1" t="s">
        <v>351</v>
      </c>
      <c r="J93" s="1">
        <v>8</v>
      </c>
      <c r="K93" s="1" t="str">
        <f>CONCATENATE(I93,J93)</f>
        <v>J8</v>
      </c>
      <c r="L93" s="1" t="s">
        <v>359</v>
      </c>
      <c r="M93" s="1">
        <v>154</v>
      </c>
      <c r="N93">
        <v>125</v>
      </c>
      <c r="O93" s="7" t="s">
        <v>369</v>
      </c>
      <c r="Q93" s="1" t="s">
        <v>205</v>
      </c>
      <c r="R93" s="15" t="s">
        <v>639</v>
      </c>
      <c r="T93" s="2" t="s">
        <v>129</v>
      </c>
      <c r="U93" s="2">
        <v>24.524000000000001</v>
      </c>
      <c r="V93" s="15" t="s">
        <v>974</v>
      </c>
      <c r="W93" s="18" t="e">
        <f>T93-U93</f>
        <v>#VALUE!</v>
      </c>
      <c r="X93" s="15"/>
      <c r="Y93" s="15"/>
      <c r="Z93" s="1" t="s">
        <v>129</v>
      </c>
      <c r="AA93" s="15"/>
      <c r="AB93" s="15"/>
      <c r="AC93" s="15"/>
      <c r="AD93" s="15"/>
      <c r="AE93" s="15"/>
      <c r="AF93" s="15">
        <v>2</v>
      </c>
      <c r="AG93" s="29"/>
      <c r="AH93" s="1" t="s">
        <v>129</v>
      </c>
      <c r="AJ93" s="7" t="s">
        <v>1050</v>
      </c>
      <c r="AL93" s="1" t="s">
        <v>205</v>
      </c>
      <c r="AM93" s="15" t="s">
        <v>639</v>
      </c>
      <c r="AN93" t="b">
        <f t="shared" si="0"/>
        <v>1</v>
      </c>
    </row>
    <row r="94" spans="1:40" ht="26.25">
      <c r="A94" s="1">
        <v>272</v>
      </c>
      <c r="B94" s="1" t="s">
        <v>245</v>
      </c>
      <c r="C94" s="2">
        <v>22.995999999999999</v>
      </c>
      <c r="D94" s="2">
        <v>22.585999999999999</v>
      </c>
      <c r="E94" s="8" t="s">
        <v>203</v>
      </c>
      <c r="F94" s="8" t="s">
        <v>203</v>
      </c>
      <c r="G94" s="1" t="s">
        <v>203</v>
      </c>
      <c r="H94" s="1"/>
      <c r="I94" s="1" t="s">
        <v>357</v>
      </c>
      <c r="J94" s="1">
        <v>8</v>
      </c>
      <c r="K94" s="1" t="str">
        <f>CONCATENATE(I94,J94)</f>
        <v>L8</v>
      </c>
      <c r="L94" s="1" t="s">
        <v>359</v>
      </c>
      <c r="M94" s="1">
        <v>156</v>
      </c>
      <c r="N94">
        <v>126</v>
      </c>
      <c r="O94" s="7" t="s">
        <v>369</v>
      </c>
      <c r="Q94" s="1" t="s">
        <v>245</v>
      </c>
      <c r="R94" s="15" t="s">
        <v>460</v>
      </c>
      <c r="T94" s="2">
        <v>22.995999999999999</v>
      </c>
      <c r="U94" s="2">
        <v>22.585999999999999</v>
      </c>
      <c r="V94" s="15" t="s">
        <v>794</v>
      </c>
      <c r="W94" s="18">
        <f>T94-U94</f>
        <v>0.41000000000000014</v>
      </c>
      <c r="X94" s="30">
        <v>489.82</v>
      </c>
      <c r="Y94" s="30">
        <f>(X94-122)/3</f>
        <v>122.60666666666667</v>
      </c>
      <c r="Z94" s="1" t="s">
        <v>203</v>
      </c>
      <c r="AA94" s="15"/>
      <c r="AB94" s="15"/>
      <c r="AC94" s="15"/>
      <c r="AD94" s="15"/>
      <c r="AE94" s="15">
        <v>6985</v>
      </c>
      <c r="AF94" s="15"/>
      <c r="AG94" s="29"/>
      <c r="AH94" s="1" t="s">
        <v>129</v>
      </c>
      <c r="AJ94" s="7" t="s">
        <v>1050</v>
      </c>
      <c r="AL94" s="1" t="s">
        <v>245</v>
      </c>
      <c r="AM94" s="15" t="s">
        <v>460</v>
      </c>
      <c r="AN94" t="b">
        <f t="shared" si="0"/>
        <v>1</v>
      </c>
    </row>
    <row r="95" spans="1:40" ht="26.25">
      <c r="A95" s="1">
        <v>320</v>
      </c>
      <c r="B95" s="1" t="s">
        <v>284</v>
      </c>
      <c r="C95" s="2">
        <v>24.321999999999999</v>
      </c>
      <c r="D95" s="2">
        <v>23.774000000000001</v>
      </c>
      <c r="E95" s="8" t="s">
        <v>203</v>
      </c>
      <c r="F95" s="8" t="s">
        <v>203</v>
      </c>
      <c r="G95" s="1" t="s">
        <v>203</v>
      </c>
      <c r="H95" s="1"/>
      <c r="I95" s="1" t="s">
        <v>4</v>
      </c>
      <c r="J95" s="1">
        <v>8</v>
      </c>
      <c r="K95" s="1" t="str">
        <f>CONCATENATE(I95,J95)</f>
        <v>N8</v>
      </c>
      <c r="L95" s="1" t="s">
        <v>359</v>
      </c>
      <c r="M95" s="1">
        <v>158</v>
      </c>
      <c r="N95">
        <v>127</v>
      </c>
      <c r="O95" s="7" t="s">
        <v>369</v>
      </c>
      <c r="Q95" s="1" t="s">
        <v>284</v>
      </c>
      <c r="R95" s="15" t="s">
        <v>461</v>
      </c>
      <c r="T95" s="2">
        <v>24.321999999999999</v>
      </c>
      <c r="U95" s="2">
        <v>23.774000000000001</v>
      </c>
      <c r="V95" s="15" t="s">
        <v>795</v>
      </c>
      <c r="W95" s="18">
        <f>T95-U95</f>
        <v>0.54799999999999827</v>
      </c>
      <c r="X95" s="30">
        <v>484.02</v>
      </c>
      <c r="Y95" s="30">
        <f>(X95-122)/3</f>
        <v>120.67333333333333</v>
      </c>
      <c r="Z95" s="1" t="s">
        <v>203</v>
      </c>
      <c r="AA95" s="15"/>
      <c r="AB95" s="15"/>
      <c r="AC95" s="15"/>
      <c r="AD95" s="15"/>
      <c r="AE95" s="15">
        <v>3584</v>
      </c>
      <c r="AF95" s="15"/>
      <c r="AG95" s="29"/>
      <c r="AH95" s="1" t="s">
        <v>86</v>
      </c>
      <c r="AJ95" s="7" t="s">
        <v>1050</v>
      </c>
      <c r="AL95" s="1" t="s">
        <v>284</v>
      </c>
      <c r="AM95" s="15" t="s">
        <v>461</v>
      </c>
      <c r="AN95" t="b">
        <f t="shared" si="0"/>
        <v>1</v>
      </c>
    </row>
    <row r="96" spans="1:40" ht="26.25">
      <c r="A96" s="1">
        <v>368</v>
      </c>
      <c r="B96" s="1" t="s">
        <v>323</v>
      </c>
      <c r="C96" s="2">
        <v>34.776000000000003</v>
      </c>
      <c r="D96" s="2">
        <v>22.193999999999999</v>
      </c>
      <c r="E96" s="8" t="s">
        <v>366</v>
      </c>
      <c r="F96" s="8" t="s">
        <v>203</v>
      </c>
      <c r="G96" s="1" t="s">
        <v>129</v>
      </c>
      <c r="H96" s="1"/>
      <c r="I96" s="1" t="s">
        <v>355</v>
      </c>
      <c r="J96" s="1">
        <v>8</v>
      </c>
      <c r="K96" s="1" t="str">
        <f>CONCATENATE(I96,J96)</f>
        <v>P8</v>
      </c>
      <c r="L96" s="1" t="s">
        <v>359</v>
      </c>
      <c r="M96" s="1">
        <v>160</v>
      </c>
      <c r="N96">
        <v>128</v>
      </c>
      <c r="O96" s="7" t="s">
        <v>369</v>
      </c>
      <c r="Q96" s="1" t="s">
        <v>323</v>
      </c>
      <c r="R96" s="15" t="s">
        <v>591</v>
      </c>
      <c r="T96" s="2">
        <v>34.776000000000003</v>
      </c>
      <c r="U96" s="2">
        <v>22.193999999999999</v>
      </c>
      <c r="V96" s="15" t="s">
        <v>926</v>
      </c>
      <c r="W96" s="18">
        <f>T96-U96</f>
        <v>12.582000000000004</v>
      </c>
      <c r="X96" s="15"/>
      <c r="Y96" s="15"/>
      <c r="Z96" s="1" t="s">
        <v>129</v>
      </c>
      <c r="AA96" s="15"/>
      <c r="AB96" s="15"/>
      <c r="AC96" s="15"/>
      <c r="AD96" s="15"/>
      <c r="AE96" s="15"/>
      <c r="AF96" s="15"/>
      <c r="AG96" s="29"/>
      <c r="AH96" s="1" t="s">
        <v>129</v>
      </c>
      <c r="AJ96" s="7" t="s">
        <v>1050</v>
      </c>
      <c r="AL96" s="1" t="s">
        <v>323</v>
      </c>
      <c r="AM96" s="15" t="s">
        <v>591</v>
      </c>
      <c r="AN96" t="b">
        <f t="shared" si="0"/>
        <v>1</v>
      </c>
    </row>
    <row r="97" spans="1:40" ht="26.25">
      <c r="A97" s="1">
        <v>9</v>
      </c>
      <c r="B97" s="1" t="s">
        <v>11</v>
      </c>
      <c r="C97" s="2">
        <v>23.616</v>
      </c>
      <c r="D97" s="2">
        <v>23.25</v>
      </c>
      <c r="E97" s="8" t="s">
        <v>203</v>
      </c>
      <c r="F97" s="8" t="s">
        <v>203</v>
      </c>
      <c r="G97" s="1" t="s">
        <v>203</v>
      </c>
      <c r="H97" s="1"/>
      <c r="I97" s="1" t="s">
        <v>342</v>
      </c>
      <c r="J97" s="1">
        <v>9</v>
      </c>
      <c r="K97" s="1" t="str">
        <f>CONCATENATE(I97,J97)</f>
        <v>A9</v>
      </c>
      <c r="L97" s="1" t="s">
        <v>358</v>
      </c>
      <c r="M97" s="1">
        <v>65</v>
      </c>
      <c r="N97">
        <v>129</v>
      </c>
      <c r="O97" s="7" t="s">
        <v>369</v>
      </c>
      <c r="Q97" s="1" t="s">
        <v>11</v>
      </c>
      <c r="R97" s="15" t="s">
        <v>462</v>
      </c>
      <c r="T97" s="2">
        <v>23.616</v>
      </c>
      <c r="U97" s="2">
        <v>23.25</v>
      </c>
      <c r="V97" s="15" t="s">
        <v>796</v>
      </c>
      <c r="W97" s="18">
        <f>T97-U97</f>
        <v>0.36599999999999966</v>
      </c>
      <c r="X97" s="30">
        <v>486.84</v>
      </c>
      <c r="Y97" s="30">
        <f>(X97-122)/3</f>
        <v>121.61333333333333</v>
      </c>
      <c r="Z97" s="1" t="s">
        <v>203</v>
      </c>
      <c r="AA97" s="15"/>
      <c r="AB97" s="15"/>
      <c r="AC97" s="15"/>
      <c r="AD97" s="15"/>
      <c r="AE97" s="15">
        <v>4581</v>
      </c>
      <c r="AF97" s="15"/>
      <c r="AG97" s="29"/>
      <c r="AH97" s="1" t="s">
        <v>86</v>
      </c>
      <c r="AJ97" s="7" t="s">
        <v>1050</v>
      </c>
      <c r="AL97" s="1" t="s">
        <v>11</v>
      </c>
      <c r="AM97" s="15" t="s">
        <v>462</v>
      </c>
      <c r="AN97" t="b">
        <f t="shared" si="0"/>
        <v>1</v>
      </c>
    </row>
    <row r="98" spans="1:40" ht="26.25">
      <c r="A98" s="1">
        <v>57</v>
      </c>
      <c r="B98" s="1" t="s">
        <v>55</v>
      </c>
      <c r="C98" s="2">
        <v>36.524999999999999</v>
      </c>
      <c r="D98" s="2">
        <v>22.558</v>
      </c>
      <c r="E98" s="8" t="s">
        <v>366</v>
      </c>
      <c r="F98" s="8" t="s">
        <v>203</v>
      </c>
      <c r="G98" s="1" t="s">
        <v>129</v>
      </c>
      <c r="H98" s="1"/>
      <c r="I98" s="1" t="s">
        <v>344</v>
      </c>
      <c r="J98" s="1">
        <v>9</v>
      </c>
      <c r="K98" s="1" t="str">
        <f>CONCATENATE(I98,J98)</f>
        <v>C9</v>
      </c>
      <c r="L98" s="1" t="s">
        <v>358</v>
      </c>
      <c r="M98" s="1">
        <v>67</v>
      </c>
      <c r="N98">
        <v>130</v>
      </c>
      <c r="O98" s="7" t="s">
        <v>369</v>
      </c>
      <c r="Q98" s="1" t="s">
        <v>55</v>
      </c>
      <c r="R98" s="15" t="s">
        <v>592</v>
      </c>
      <c r="T98" s="2">
        <v>36.524999999999999</v>
      </c>
      <c r="U98" s="2">
        <v>22.558</v>
      </c>
      <c r="V98" s="15" t="s">
        <v>927</v>
      </c>
      <c r="W98" s="18">
        <f>T98-U98</f>
        <v>13.966999999999999</v>
      </c>
      <c r="X98" s="15"/>
      <c r="Y98" s="15"/>
      <c r="Z98" s="1" t="s">
        <v>129</v>
      </c>
      <c r="AA98" s="15"/>
      <c r="AB98" s="15"/>
      <c r="AC98" s="15"/>
      <c r="AD98" s="15"/>
      <c r="AE98" s="15"/>
      <c r="AF98" s="15"/>
      <c r="AG98" s="29"/>
      <c r="AH98" s="1" t="s">
        <v>129</v>
      </c>
      <c r="AJ98" s="7" t="s">
        <v>1050</v>
      </c>
      <c r="AL98" s="1" t="s">
        <v>55</v>
      </c>
      <c r="AM98" s="15" t="s">
        <v>592</v>
      </c>
      <c r="AN98" t="b">
        <f t="shared" si="0"/>
        <v>1</v>
      </c>
    </row>
    <row r="99" spans="1:40" ht="26.25">
      <c r="A99" s="1">
        <v>105</v>
      </c>
      <c r="B99" s="1" t="s">
        <v>99</v>
      </c>
      <c r="C99" s="2" t="s">
        <v>129</v>
      </c>
      <c r="D99" s="2">
        <v>23.879000000000001</v>
      </c>
      <c r="E99" s="8" t="s">
        <v>129</v>
      </c>
      <c r="F99" s="8" t="s">
        <v>203</v>
      </c>
      <c r="G99" s="1" t="s">
        <v>129</v>
      </c>
      <c r="H99" s="1"/>
      <c r="I99" s="1" t="s">
        <v>346</v>
      </c>
      <c r="J99" s="1">
        <v>9</v>
      </c>
      <c r="K99" s="1" t="str">
        <f>CONCATENATE(I99,J99)</f>
        <v>E9</v>
      </c>
      <c r="L99" s="1" t="s">
        <v>358</v>
      </c>
      <c r="M99" s="1">
        <v>69</v>
      </c>
      <c r="N99">
        <v>131</v>
      </c>
      <c r="O99" s="7" t="s">
        <v>369</v>
      </c>
      <c r="Q99" s="1" t="s">
        <v>99</v>
      </c>
      <c r="R99" s="15" t="s">
        <v>640</v>
      </c>
      <c r="T99" s="2" t="s">
        <v>129</v>
      </c>
      <c r="U99" s="2">
        <v>23.879000000000001</v>
      </c>
      <c r="V99" s="15" t="s">
        <v>975</v>
      </c>
      <c r="W99" s="18" t="e">
        <f>T99-U99</f>
        <v>#VALUE!</v>
      </c>
      <c r="X99" s="15"/>
      <c r="Y99" s="15"/>
      <c r="Z99" s="1" t="s">
        <v>129</v>
      </c>
      <c r="AA99" s="15"/>
      <c r="AB99" s="15"/>
      <c r="AC99" s="15"/>
      <c r="AD99" s="15"/>
      <c r="AE99" s="15"/>
      <c r="AF99" s="15"/>
      <c r="AG99" s="29"/>
      <c r="AH99" s="1" t="s">
        <v>86</v>
      </c>
      <c r="AJ99" s="7" t="s">
        <v>1050</v>
      </c>
      <c r="AL99" s="1" t="s">
        <v>99</v>
      </c>
      <c r="AM99" s="15" t="s">
        <v>640</v>
      </c>
      <c r="AN99" t="b">
        <f t="shared" si="0"/>
        <v>1</v>
      </c>
    </row>
    <row r="100" spans="1:40" ht="26.25">
      <c r="A100" s="1">
        <v>153</v>
      </c>
      <c r="B100" s="1" t="s">
        <v>142</v>
      </c>
      <c r="C100" s="2">
        <v>34.616999999999997</v>
      </c>
      <c r="D100" s="2">
        <v>20.934000000000001</v>
      </c>
      <c r="E100" s="8" t="s">
        <v>366</v>
      </c>
      <c r="F100" s="8" t="s">
        <v>203</v>
      </c>
      <c r="G100" s="1" t="s">
        <v>129</v>
      </c>
      <c r="H100" s="1"/>
      <c r="I100" s="1" t="s">
        <v>348</v>
      </c>
      <c r="J100" s="1">
        <v>9</v>
      </c>
      <c r="K100" s="1" t="str">
        <f>CONCATENATE(I100,J100)</f>
        <v>G9</v>
      </c>
      <c r="L100" s="1" t="s">
        <v>358</v>
      </c>
      <c r="M100" s="1">
        <v>71</v>
      </c>
      <c r="N100">
        <v>132</v>
      </c>
      <c r="O100" s="7" t="s">
        <v>369</v>
      </c>
      <c r="Q100" s="1" t="s">
        <v>142</v>
      </c>
      <c r="R100" s="15" t="s">
        <v>593</v>
      </c>
      <c r="T100" s="2">
        <v>34.616999999999997</v>
      </c>
      <c r="U100" s="2">
        <v>20.934000000000001</v>
      </c>
      <c r="V100" s="15" t="s">
        <v>928</v>
      </c>
      <c r="W100" s="18">
        <f>T100-U100</f>
        <v>13.682999999999996</v>
      </c>
      <c r="X100" s="15"/>
      <c r="Y100" s="15"/>
      <c r="Z100" s="1" t="s">
        <v>129</v>
      </c>
      <c r="AA100" s="15"/>
      <c r="AB100" s="15"/>
      <c r="AC100" s="15"/>
      <c r="AD100" s="15"/>
      <c r="AE100" s="15"/>
      <c r="AF100" s="15"/>
      <c r="AG100" s="29"/>
      <c r="AH100" s="1" t="s">
        <v>86</v>
      </c>
      <c r="AJ100" s="7" t="s">
        <v>1050</v>
      </c>
      <c r="AL100" s="1" t="s">
        <v>142</v>
      </c>
      <c r="AM100" s="15" t="s">
        <v>593</v>
      </c>
      <c r="AN100" t="b">
        <f t="shared" si="0"/>
        <v>1</v>
      </c>
    </row>
    <row r="101" spans="1:40" ht="26.25">
      <c r="A101" s="1">
        <v>201</v>
      </c>
      <c r="B101" s="1" t="s">
        <v>185</v>
      </c>
      <c r="C101" s="2" t="s">
        <v>129</v>
      </c>
      <c r="D101" s="2">
        <v>21.593</v>
      </c>
      <c r="E101" s="8" t="s">
        <v>129</v>
      </c>
      <c r="F101" s="8" t="s">
        <v>203</v>
      </c>
      <c r="G101" s="1" t="s">
        <v>129</v>
      </c>
      <c r="H101" s="1"/>
      <c r="I101" s="1" t="s">
        <v>350</v>
      </c>
      <c r="J101" s="1">
        <v>9</v>
      </c>
      <c r="K101" s="1" t="str">
        <f>CONCATENATE(I101,J101)</f>
        <v>I9</v>
      </c>
      <c r="L101" s="1" t="s">
        <v>359</v>
      </c>
      <c r="M101" s="1">
        <v>161</v>
      </c>
      <c r="N101">
        <v>133</v>
      </c>
      <c r="O101" s="7" t="s">
        <v>369</v>
      </c>
      <c r="Q101" s="1" t="s">
        <v>185</v>
      </c>
      <c r="R101" s="15" t="s">
        <v>641</v>
      </c>
      <c r="T101" s="2" t="s">
        <v>129</v>
      </c>
      <c r="U101" s="2">
        <v>21.593</v>
      </c>
      <c r="V101" s="15" t="s">
        <v>976</v>
      </c>
      <c r="W101" s="18" t="e">
        <f>T101-U101</f>
        <v>#VALUE!</v>
      </c>
      <c r="X101" s="15"/>
      <c r="Y101" s="15"/>
      <c r="Z101" s="1" t="s">
        <v>129</v>
      </c>
      <c r="AA101" s="15"/>
      <c r="AB101" s="15"/>
      <c r="AC101" s="15"/>
      <c r="AD101" s="15"/>
      <c r="AE101" s="15"/>
      <c r="AF101" s="15"/>
      <c r="AG101" s="29"/>
      <c r="AH101" s="1" t="s">
        <v>86</v>
      </c>
      <c r="AJ101" s="7" t="s">
        <v>1050</v>
      </c>
      <c r="AL101" s="1" t="s">
        <v>185</v>
      </c>
      <c r="AM101" s="15" t="s">
        <v>641</v>
      </c>
      <c r="AN101" t="b">
        <f t="shared" si="0"/>
        <v>1</v>
      </c>
    </row>
    <row r="102" spans="1:40" ht="26.25">
      <c r="A102" s="1">
        <v>249</v>
      </c>
      <c r="B102" s="1" t="s">
        <v>226</v>
      </c>
      <c r="C102" s="2" t="s">
        <v>129</v>
      </c>
      <c r="D102" s="2">
        <v>19.923999999999999</v>
      </c>
      <c r="E102" s="8" t="s">
        <v>129</v>
      </c>
      <c r="F102" s="8" t="s">
        <v>366</v>
      </c>
      <c r="G102" s="1" t="s">
        <v>129</v>
      </c>
      <c r="H102" s="1"/>
      <c r="I102" s="1" t="s">
        <v>352</v>
      </c>
      <c r="J102" s="1">
        <v>9</v>
      </c>
      <c r="K102" s="1" t="str">
        <f>CONCATENATE(I102,J102)</f>
        <v>K9</v>
      </c>
      <c r="L102" s="1" t="s">
        <v>359</v>
      </c>
      <c r="M102" s="1">
        <v>163</v>
      </c>
      <c r="N102">
        <v>134</v>
      </c>
      <c r="O102" s="7" t="s">
        <v>369</v>
      </c>
      <c r="Q102" s="1" t="s">
        <v>226</v>
      </c>
      <c r="R102" s="15" t="s">
        <v>696</v>
      </c>
      <c r="T102" s="2" t="s">
        <v>129</v>
      </c>
      <c r="U102" s="2">
        <v>19.923999999999999</v>
      </c>
      <c r="V102" s="15" t="s">
        <v>1031</v>
      </c>
      <c r="W102" s="18" t="e">
        <f>T102-U102</f>
        <v>#VALUE!</v>
      </c>
      <c r="X102" s="15"/>
      <c r="Y102" s="15"/>
      <c r="Z102" s="1" t="s">
        <v>129</v>
      </c>
      <c r="AA102" s="15"/>
      <c r="AB102" s="15"/>
      <c r="AC102" s="15"/>
      <c r="AD102" s="15"/>
      <c r="AE102" s="15"/>
      <c r="AF102" s="15"/>
      <c r="AG102" s="29"/>
      <c r="AH102" s="1" t="s">
        <v>86</v>
      </c>
      <c r="AJ102" s="7" t="s">
        <v>1050</v>
      </c>
      <c r="AL102" s="1" t="s">
        <v>226</v>
      </c>
      <c r="AM102" s="15" t="s">
        <v>696</v>
      </c>
      <c r="AN102" t="b">
        <f t="shared" si="0"/>
        <v>1</v>
      </c>
    </row>
    <row r="103" spans="1:40" ht="26.25">
      <c r="A103" s="1">
        <v>297</v>
      </c>
      <c r="B103" s="1" t="s">
        <v>266</v>
      </c>
      <c r="C103" s="2" t="s">
        <v>129</v>
      </c>
      <c r="D103" s="2">
        <v>21.465</v>
      </c>
      <c r="E103" s="8" t="s">
        <v>129</v>
      </c>
      <c r="F103" s="8" t="s">
        <v>203</v>
      </c>
      <c r="G103" s="1" t="s">
        <v>129</v>
      </c>
      <c r="H103" s="1"/>
      <c r="I103" s="1" t="s">
        <v>353</v>
      </c>
      <c r="J103" s="1">
        <v>9</v>
      </c>
      <c r="K103" s="1" t="str">
        <f>CONCATENATE(I103,J103)</f>
        <v>M9</v>
      </c>
      <c r="L103" s="1" t="s">
        <v>359</v>
      </c>
      <c r="M103" s="1">
        <v>165</v>
      </c>
      <c r="N103">
        <v>135</v>
      </c>
      <c r="O103" s="7" t="s">
        <v>369</v>
      </c>
      <c r="Q103" s="1" t="s">
        <v>266</v>
      </c>
      <c r="R103" s="15" t="s">
        <v>642</v>
      </c>
      <c r="T103" s="2" t="s">
        <v>129</v>
      </c>
      <c r="U103" s="2">
        <v>21.465</v>
      </c>
      <c r="V103" s="15" t="s">
        <v>977</v>
      </c>
      <c r="W103" s="18" t="e">
        <f>T103-U103</f>
        <v>#VALUE!</v>
      </c>
      <c r="X103" s="15"/>
      <c r="Y103" s="15"/>
      <c r="Z103" s="1" t="s">
        <v>129</v>
      </c>
      <c r="AA103" s="15"/>
      <c r="AB103" s="15"/>
      <c r="AC103" s="15"/>
      <c r="AD103" s="15"/>
      <c r="AE103" s="15"/>
      <c r="AF103" s="15"/>
      <c r="AG103" s="29"/>
      <c r="AH103" s="1" t="s">
        <v>86</v>
      </c>
      <c r="AJ103" s="7" t="s">
        <v>1050</v>
      </c>
      <c r="AL103" s="1" t="s">
        <v>266</v>
      </c>
      <c r="AM103" s="15" t="s">
        <v>642</v>
      </c>
      <c r="AN103" t="b">
        <f t="shared" si="0"/>
        <v>1</v>
      </c>
    </row>
    <row r="104" spans="1:40" ht="26.25">
      <c r="A104" s="1">
        <v>345</v>
      </c>
      <c r="B104" s="1" t="s">
        <v>305</v>
      </c>
      <c r="C104" s="2" t="s">
        <v>129</v>
      </c>
      <c r="D104" s="2">
        <v>24.725000000000001</v>
      </c>
      <c r="E104" s="8" t="s">
        <v>129</v>
      </c>
      <c r="F104" s="8" t="s">
        <v>203</v>
      </c>
      <c r="G104" s="1" t="s">
        <v>129</v>
      </c>
      <c r="H104" s="1"/>
      <c r="I104" s="1" t="s">
        <v>354</v>
      </c>
      <c r="J104" s="1">
        <v>9</v>
      </c>
      <c r="K104" s="1" t="str">
        <f>CONCATENATE(I104,J104)</f>
        <v>O9</v>
      </c>
      <c r="L104" s="1" t="s">
        <v>359</v>
      </c>
      <c r="M104" s="1">
        <v>167</v>
      </c>
      <c r="N104">
        <v>136</v>
      </c>
      <c r="O104" s="7" t="s">
        <v>369</v>
      </c>
      <c r="Q104" s="1" t="s">
        <v>305</v>
      </c>
      <c r="R104" s="15" t="s">
        <v>643</v>
      </c>
      <c r="T104" s="2" t="s">
        <v>129</v>
      </c>
      <c r="U104" s="2">
        <v>24.725000000000001</v>
      </c>
      <c r="V104" s="15" t="s">
        <v>978</v>
      </c>
      <c r="W104" s="18" t="e">
        <f>T104-U104</f>
        <v>#VALUE!</v>
      </c>
      <c r="X104" s="15"/>
      <c r="Y104" s="15"/>
      <c r="Z104" s="1" t="s">
        <v>129</v>
      </c>
      <c r="AA104" s="15"/>
      <c r="AB104" s="15"/>
      <c r="AC104" s="15"/>
      <c r="AD104" s="15"/>
      <c r="AE104" s="15"/>
      <c r="AF104" s="15"/>
      <c r="AG104" s="29"/>
      <c r="AH104" s="1" t="s">
        <v>86</v>
      </c>
      <c r="AJ104" s="7" t="s">
        <v>1050</v>
      </c>
      <c r="AL104" s="1" t="s">
        <v>305</v>
      </c>
      <c r="AM104" s="15" t="s">
        <v>643</v>
      </c>
      <c r="AN104" t="b">
        <f t="shared" si="0"/>
        <v>1</v>
      </c>
    </row>
    <row r="105" spans="1:40" ht="26.25">
      <c r="A105" s="1">
        <v>33</v>
      </c>
      <c r="B105" s="1" t="s">
        <v>33</v>
      </c>
      <c r="C105" s="2">
        <v>34.707999999999998</v>
      </c>
      <c r="D105" s="2">
        <v>21.638000000000002</v>
      </c>
      <c r="E105" s="8" t="s">
        <v>366</v>
      </c>
      <c r="F105" s="8" t="s">
        <v>203</v>
      </c>
      <c r="G105" s="1" t="s">
        <v>129</v>
      </c>
      <c r="H105" s="1"/>
      <c r="I105" s="1" t="s">
        <v>343</v>
      </c>
      <c r="J105" s="1">
        <v>9</v>
      </c>
      <c r="K105" s="1" t="str">
        <f>CONCATENATE(I105,J105)</f>
        <v>B9</v>
      </c>
      <c r="L105" s="1" t="s">
        <v>358</v>
      </c>
      <c r="M105" s="1">
        <v>66</v>
      </c>
      <c r="N105">
        <v>137</v>
      </c>
      <c r="O105" s="7" t="s">
        <v>369</v>
      </c>
      <c r="Q105" s="1" t="s">
        <v>33</v>
      </c>
      <c r="R105" s="15" t="s">
        <v>594</v>
      </c>
      <c r="T105" s="2">
        <v>34.707999999999998</v>
      </c>
      <c r="U105" s="2">
        <v>21.638000000000002</v>
      </c>
      <c r="V105" s="15" t="s">
        <v>929</v>
      </c>
      <c r="W105" s="18">
        <f>T105-U105</f>
        <v>13.069999999999997</v>
      </c>
      <c r="X105" s="15"/>
      <c r="Y105" s="15"/>
      <c r="Z105" s="1" t="s">
        <v>129</v>
      </c>
      <c r="AA105" s="15"/>
      <c r="AB105" s="15"/>
      <c r="AC105" s="15"/>
      <c r="AD105" s="15"/>
      <c r="AE105" s="15"/>
      <c r="AF105" s="15"/>
      <c r="AG105" s="29"/>
      <c r="AH105" s="1" t="s">
        <v>129</v>
      </c>
      <c r="AJ105" s="7" t="s">
        <v>1050</v>
      </c>
      <c r="AL105" s="1" t="s">
        <v>33</v>
      </c>
      <c r="AM105" s="15" t="s">
        <v>594</v>
      </c>
      <c r="AN105" t="b">
        <f t="shared" si="0"/>
        <v>1</v>
      </c>
    </row>
    <row r="106" spans="1:40" ht="26.25">
      <c r="A106" s="1">
        <v>81</v>
      </c>
      <c r="B106" s="1" t="s">
        <v>77</v>
      </c>
      <c r="C106" s="2">
        <v>23.881</v>
      </c>
      <c r="D106" s="2">
        <v>23.498999999999999</v>
      </c>
      <c r="E106" s="8" t="s">
        <v>203</v>
      </c>
      <c r="F106" s="8" t="s">
        <v>203</v>
      </c>
      <c r="G106" s="1" t="s">
        <v>203</v>
      </c>
      <c r="H106" s="1"/>
      <c r="I106" s="1" t="s">
        <v>345</v>
      </c>
      <c r="J106" s="1">
        <v>9</v>
      </c>
      <c r="K106" s="1" t="str">
        <f>CONCATENATE(I106,J106)</f>
        <v>D9</v>
      </c>
      <c r="L106" s="1" t="s">
        <v>358</v>
      </c>
      <c r="M106" s="1">
        <v>68</v>
      </c>
      <c r="N106">
        <v>138</v>
      </c>
      <c r="O106" s="7" t="s">
        <v>369</v>
      </c>
      <c r="Q106" s="1" t="s">
        <v>77</v>
      </c>
      <c r="R106" s="15" t="s">
        <v>463</v>
      </c>
      <c r="T106" s="2">
        <v>23.881</v>
      </c>
      <c r="U106" s="2">
        <v>23.498999999999999</v>
      </c>
      <c r="V106" s="15" t="s">
        <v>797</v>
      </c>
      <c r="W106" s="18">
        <f>T106-U106</f>
        <v>0.38200000000000145</v>
      </c>
      <c r="X106" s="30">
        <v>481.15</v>
      </c>
      <c r="Y106" s="30">
        <f>(X106-122)/3</f>
        <v>119.71666666666665</v>
      </c>
      <c r="Z106" s="1" t="s">
        <v>203</v>
      </c>
      <c r="AA106" s="15"/>
      <c r="AB106" s="15"/>
      <c r="AC106" s="15"/>
      <c r="AD106" s="15"/>
      <c r="AE106" s="15">
        <v>5347</v>
      </c>
      <c r="AF106" s="15"/>
      <c r="AG106" s="29"/>
      <c r="AH106" s="1" t="s">
        <v>129</v>
      </c>
      <c r="AJ106" s="7" t="s">
        <v>1050</v>
      </c>
      <c r="AL106" s="1" t="s">
        <v>77</v>
      </c>
      <c r="AM106" s="15" t="s">
        <v>463</v>
      </c>
      <c r="AN106" t="b">
        <f t="shared" si="0"/>
        <v>1</v>
      </c>
    </row>
    <row r="107" spans="1:40" ht="26.25">
      <c r="A107" s="1">
        <v>129</v>
      </c>
      <c r="B107" s="1" t="s">
        <v>120</v>
      </c>
      <c r="C107" s="2">
        <v>34.36</v>
      </c>
      <c r="D107" s="2">
        <v>22.992000000000001</v>
      </c>
      <c r="E107" s="8" t="s">
        <v>366</v>
      </c>
      <c r="F107" s="8" t="s">
        <v>203</v>
      </c>
      <c r="G107" s="1" t="s">
        <v>129</v>
      </c>
      <c r="H107" s="1"/>
      <c r="I107" s="1" t="s">
        <v>347</v>
      </c>
      <c r="J107" s="1">
        <v>9</v>
      </c>
      <c r="K107" s="1" t="str">
        <f>CONCATENATE(I107,J107)</f>
        <v>F9</v>
      </c>
      <c r="L107" s="1" t="s">
        <v>358</v>
      </c>
      <c r="M107" s="1">
        <v>70</v>
      </c>
      <c r="N107">
        <v>139</v>
      </c>
      <c r="O107" s="7" t="s">
        <v>369</v>
      </c>
      <c r="Q107" s="1" t="s">
        <v>120</v>
      </c>
      <c r="R107" s="15" t="s">
        <v>595</v>
      </c>
      <c r="T107" s="2">
        <v>34.36</v>
      </c>
      <c r="U107" s="2">
        <v>22.992000000000001</v>
      </c>
      <c r="V107" s="15" t="s">
        <v>930</v>
      </c>
      <c r="W107" s="18">
        <f>T107-U107</f>
        <v>11.367999999999999</v>
      </c>
      <c r="X107" s="15"/>
      <c r="Y107" s="15"/>
      <c r="Z107" s="1" t="s">
        <v>129</v>
      </c>
      <c r="AA107" s="15"/>
      <c r="AB107" s="15"/>
      <c r="AC107" s="15"/>
      <c r="AD107" s="15"/>
      <c r="AE107" s="15"/>
      <c r="AF107" s="15"/>
      <c r="AG107" s="29"/>
      <c r="AH107" s="1" t="s">
        <v>129</v>
      </c>
      <c r="AJ107" s="7" t="s">
        <v>1050</v>
      </c>
      <c r="AL107" s="1" t="s">
        <v>120</v>
      </c>
      <c r="AM107" s="15" t="s">
        <v>595</v>
      </c>
      <c r="AN107" t="b">
        <f t="shared" si="0"/>
        <v>1</v>
      </c>
    </row>
    <row r="108" spans="1:40" ht="26.25">
      <c r="A108" s="1">
        <v>177</v>
      </c>
      <c r="B108" s="1" t="s">
        <v>163</v>
      </c>
      <c r="C108" s="2">
        <v>23.86</v>
      </c>
      <c r="D108" s="2">
        <v>22.923999999999999</v>
      </c>
      <c r="E108" s="8" t="s">
        <v>203</v>
      </c>
      <c r="F108" s="8" t="s">
        <v>203</v>
      </c>
      <c r="G108" s="1" t="s">
        <v>203</v>
      </c>
      <c r="H108" s="1"/>
      <c r="I108" s="1" t="s">
        <v>349</v>
      </c>
      <c r="J108" s="1">
        <v>9</v>
      </c>
      <c r="K108" s="1" t="str">
        <f>CONCATENATE(I108,J108)</f>
        <v>H9</v>
      </c>
      <c r="L108" s="1" t="s">
        <v>358</v>
      </c>
      <c r="M108" s="1">
        <v>72</v>
      </c>
      <c r="N108">
        <v>140</v>
      </c>
      <c r="O108" s="7" t="s">
        <v>369</v>
      </c>
      <c r="Q108" s="1" t="s">
        <v>163</v>
      </c>
      <c r="R108" s="15" t="s">
        <v>464</v>
      </c>
      <c r="T108" s="2">
        <v>23.86</v>
      </c>
      <c r="U108" s="2">
        <v>22.923999999999999</v>
      </c>
      <c r="V108" s="15" t="s">
        <v>798</v>
      </c>
      <c r="W108" s="18">
        <f>T108-U108</f>
        <v>0.93599999999999994</v>
      </c>
      <c r="X108" s="30">
        <v>481.25</v>
      </c>
      <c r="Y108" s="30">
        <f>(X108-122)/3</f>
        <v>119.75</v>
      </c>
      <c r="Z108" s="1" t="s">
        <v>203</v>
      </c>
      <c r="AA108" s="15"/>
      <c r="AB108" s="15"/>
      <c r="AC108" s="15"/>
      <c r="AD108" s="15"/>
      <c r="AE108" s="15">
        <v>7349</v>
      </c>
      <c r="AF108" s="15"/>
      <c r="AG108" s="29"/>
      <c r="AH108" s="1" t="s">
        <v>129</v>
      </c>
      <c r="AJ108" s="7" t="s">
        <v>1050</v>
      </c>
      <c r="AL108" s="1" t="s">
        <v>163</v>
      </c>
      <c r="AM108" s="15" t="s">
        <v>464</v>
      </c>
      <c r="AN108" t="b">
        <f t="shared" si="0"/>
        <v>1</v>
      </c>
    </row>
    <row r="109" spans="1:40" ht="26.25">
      <c r="A109" s="1">
        <v>225</v>
      </c>
      <c r="B109" s="1" t="s">
        <v>206</v>
      </c>
      <c r="C109" s="2">
        <v>23.887</v>
      </c>
      <c r="D109" s="2">
        <v>23.35</v>
      </c>
      <c r="E109" s="8" t="s">
        <v>203</v>
      </c>
      <c r="F109" s="8" t="s">
        <v>203</v>
      </c>
      <c r="G109" s="1" t="s">
        <v>203</v>
      </c>
      <c r="H109" s="1"/>
      <c r="I109" s="1" t="s">
        <v>351</v>
      </c>
      <c r="J109" s="1">
        <v>9</v>
      </c>
      <c r="K109" s="1" t="str">
        <f>CONCATENATE(I109,J109)</f>
        <v>J9</v>
      </c>
      <c r="L109" s="1" t="s">
        <v>359</v>
      </c>
      <c r="M109" s="1">
        <v>162</v>
      </c>
      <c r="N109">
        <v>141</v>
      </c>
      <c r="O109" s="7" t="s">
        <v>369</v>
      </c>
      <c r="Q109" s="1" t="s">
        <v>206</v>
      </c>
      <c r="R109" s="15" t="s">
        <v>465</v>
      </c>
      <c r="T109" s="2">
        <v>23.887</v>
      </c>
      <c r="U109" s="2">
        <v>23.35</v>
      </c>
      <c r="V109" s="15" t="s">
        <v>799</v>
      </c>
      <c r="W109" s="18">
        <f>T109-U109</f>
        <v>0.53699999999999903</v>
      </c>
      <c r="X109" s="30">
        <v>478.32</v>
      </c>
      <c r="Y109" s="30">
        <f>(X109-122)/3</f>
        <v>118.77333333333333</v>
      </c>
      <c r="Z109" s="1" t="s">
        <v>203</v>
      </c>
      <c r="AA109" s="15"/>
      <c r="AB109" s="15"/>
      <c r="AC109" s="15"/>
      <c r="AD109" s="15"/>
      <c r="AE109" s="15">
        <v>7358</v>
      </c>
      <c r="AF109" s="15"/>
      <c r="AG109" s="29"/>
      <c r="AH109" s="1" t="s">
        <v>86</v>
      </c>
      <c r="AJ109" s="7" t="s">
        <v>1050</v>
      </c>
      <c r="AL109" s="1" t="s">
        <v>206</v>
      </c>
      <c r="AM109" s="15" t="s">
        <v>465</v>
      </c>
      <c r="AN109" t="b">
        <f t="shared" si="0"/>
        <v>1</v>
      </c>
    </row>
    <row r="110" spans="1:40" ht="26.25">
      <c r="A110" s="1">
        <v>273</v>
      </c>
      <c r="B110" s="1" t="s">
        <v>246</v>
      </c>
      <c r="C110" s="2">
        <v>20.885000000000002</v>
      </c>
      <c r="D110" s="2">
        <v>20.282</v>
      </c>
      <c r="E110" s="8" t="s">
        <v>203</v>
      </c>
      <c r="F110" s="8" t="s">
        <v>203</v>
      </c>
      <c r="G110" s="1" t="s">
        <v>203</v>
      </c>
      <c r="H110" s="1"/>
      <c r="I110" s="1" t="s">
        <v>357</v>
      </c>
      <c r="J110" s="1">
        <v>9</v>
      </c>
      <c r="K110" s="1" t="str">
        <f>CONCATENATE(I110,J110)</f>
        <v>L9</v>
      </c>
      <c r="L110" s="1" t="s">
        <v>359</v>
      </c>
      <c r="M110" s="1">
        <v>164</v>
      </c>
      <c r="N110">
        <v>142</v>
      </c>
      <c r="O110" s="7" t="s">
        <v>369</v>
      </c>
      <c r="Q110" s="1" t="s">
        <v>246</v>
      </c>
      <c r="R110" s="15" t="s">
        <v>466</v>
      </c>
      <c r="T110" s="2">
        <v>20.885000000000002</v>
      </c>
      <c r="U110" s="2">
        <v>20.282</v>
      </c>
      <c r="V110" s="15" t="s">
        <v>800</v>
      </c>
      <c r="W110" s="18">
        <f>T110-U110</f>
        <v>0.60300000000000153</v>
      </c>
      <c r="X110" s="30">
        <v>475.32</v>
      </c>
      <c r="Y110" s="30">
        <f>(X110-122)/3</f>
        <v>117.77333333333333</v>
      </c>
      <c r="Z110" s="1" t="s">
        <v>203</v>
      </c>
      <c r="AA110" s="15"/>
      <c r="AB110" s="15"/>
      <c r="AC110" s="15"/>
      <c r="AD110" s="15"/>
      <c r="AE110" s="15">
        <v>12372</v>
      </c>
      <c r="AF110" s="15"/>
      <c r="AG110" s="29"/>
      <c r="AH110" s="1" t="s">
        <v>129</v>
      </c>
      <c r="AJ110" s="7" t="s">
        <v>1050</v>
      </c>
      <c r="AL110" s="1" t="s">
        <v>246</v>
      </c>
      <c r="AM110" s="15" t="s">
        <v>466</v>
      </c>
      <c r="AN110" t="b">
        <f t="shared" si="0"/>
        <v>1</v>
      </c>
    </row>
    <row r="111" spans="1:40" ht="26.25">
      <c r="A111" s="1">
        <v>321</v>
      </c>
      <c r="B111" s="1" t="s">
        <v>285</v>
      </c>
      <c r="C111" s="2">
        <v>33.555999999999997</v>
      </c>
      <c r="D111" s="2">
        <v>20.265000000000001</v>
      </c>
      <c r="E111" s="8" t="s">
        <v>366</v>
      </c>
      <c r="F111" s="8" t="s">
        <v>203</v>
      </c>
      <c r="G111" s="1" t="s">
        <v>129</v>
      </c>
      <c r="H111" s="1"/>
      <c r="I111" s="1" t="s">
        <v>4</v>
      </c>
      <c r="J111" s="1">
        <v>9</v>
      </c>
      <c r="K111" s="1" t="str">
        <f>CONCATENATE(I111,J111)</f>
        <v>N9</v>
      </c>
      <c r="L111" s="1" t="s">
        <v>359</v>
      </c>
      <c r="M111" s="1">
        <v>166</v>
      </c>
      <c r="N111">
        <v>143</v>
      </c>
      <c r="O111" s="7" t="s">
        <v>369</v>
      </c>
      <c r="Q111" s="1" t="s">
        <v>285</v>
      </c>
      <c r="R111" s="15" t="s">
        <v>596</v>
      </c>
      <c r="T111" s="2">
        <v>33.555999999999997</v>
      </c>
      <c r="U111" s="2">
        <v>20.265000000000001</v>
      </c>
      <c r="V111" s="15" t="s">
        <v>931</v>
      </c>
      <c r="W111" s="18">
        <f>T111-U111</f>
        <v>13.290999999999997</v>
      </c>
      <c r="X111" s="15"/>
      <c r="Y111" s="15"/>
      <c r="Z111" s="1" t="s">
        <v>129</v>
      </c>
      <c r="AA111" s="15"/>
      <c r="AB111" s="15"/>
      <c r="AC111" s="15"/>
      <c r="AD111" s="15"/>
      <c r="AE111" s="15"/>
      <c r="AF111" s="15"/>
      <c r="AG111" s="29"/>
      <c r="AH111" s="1" t="s">
        <v>86</v>
      </c>
      <c r="AJ111" s="7" t="s">
        <v>1050</v>
      </c>
      <c r="AL111" s="1" t="s">
        <v>285</v>
      </c>
      <c r="AM111" s="15" t="s">
        <v>596</v>
      </c>
      <c r="AN111" t="b">
        <f t="shared" si="0"/>
        <v>1</v>
      </c>
    </row>
    <row r="112" spans="1:40" ht="26.25">
      <c r="A112" s="1">
        <v>369</v>
      </c>
      <c r="B112" s="1" t="s">
        <v>324</v>
      </c>
      <c r="C112" s="2" t="s">
        <v>129</v>
      </c>
      <c r="D112" s="2">
        <v>21.419</v>
      </c>
      <c r="E112" s="8" t="s">
        <v>129</v>
      </c>
      <c r="F112" s="8" t="s">
        <v>203</v>
      </c>
      <c r="G112" s="1" t="s">
        <v>129</v>
      </c>
      <c r="H112" s="1"/>
      <c r="I112" s="1" t="s">
        <v>355</v>
      </c>
      <c r="J112" s="1">
        <v>9</v>
      </c>
      <c r="K112" s="1" t="str">
        <f>CONCATENATE(I112,J112)</f>
        <v>P9</v>
      </c>
      <c r="L112" s="1" t="s">
        <v>359</v>
      </c>
      <c r="M112" s="1">
        <v>168</v>
      </c>
      <c r="N112">
        <v>144</v>
      </c>
      <c r="O112" s="7" t="s">
        <v>369</v>
      </c>
      <c r="Q112" s="1" t="s">
        <v>324</v>
      </c>
      <c r="R112" s="15" t="s">
        <v>644</v>
      </c>
      <c r="T112" s="2" t="s">
        <v>129</v>
      </c>
      <c r="U112" s="2">
        <v>21.419</v>
      </c>
      <c r="V112" s="15" t="s">
        <v>979</v>
      </c>
      <c r="W112" s="18" t="e">
        <f>T112-U112</f>
        <v>#VALUE!</v>
      </c>
      <c r="X112" s="15"/>
      <c r="Y112" s="15"/>
      <c r="Z112" s="1" t="s">
        <v>129</v>
      </c>
      <c r="AA112" s="15"/>
      <c r="AB112" s="15"/>
      <c r="AC112" s="15"/>
      <c r="AD112" s="15"/>
      <c r="AE112" s="15"/>
      <c r="AF112" s="15"/>
      <c r="AG112" s="29"/>
      <c r="AH112" s="1" t="s">
        <v>129</v>
      </c>
      <c r="AJ112" s="7" t="s">
        <v>1050</v>
      </c>
      <c r="AL112" s="1" t="s">
        <v>324</v>
      </c>
      <c r="AM112" s="15" t="s">
        <v>644</v>
      </c>
      <c r="AN112" t="b">
        <f t="shared" si="0"/>
        <v>1</v>
      </c>
    </row>
    <row r="113" spans="1:40" ht="26.25">
      <c r="A113" s="1">
        <v>10</v>
      </c>
      <c r="B113" s="1" t="s">
        <v>12</v>
      </c>
      <c r="C113" s="2">
        <v>32.912999999999997</v>
      </c>
      <c r="D113" s="2">
        <v>20.013999999999999</v>
      </c>
      <c r="E113" s="8" t="s">
        <v>366</v>
      </c>
      <c r="F113" s="8" t="s">
        <v>203</v>
      </c>
      <c r="G113" s="1" t="s">
        <v>129</v>
      </c>
      <c r="H113" s="1"/>
      <c r="I113" s="1" t="s">
        <v>342</v>
      </c>
      <c r="J113" s="1">
        <v>10</v>
      </c>
      <c r="K113" s="1" t="str">
        <f>CONCATENATE(I113,J113)</f>
        <v>A10</v>
      </c>
      <c r="L113" s="1" t="s">
        <v>358</v>
      </c>
      <c r="M113" s="1">
        <v>73</v>
      </c>
      <c r="N113">
        <v>145</v>
      </c>
      <c r="O113" s="7" t="s">
        <v>369</v>
      </c>
      <c r="Q113" s="1" t="s">
        <v>12</v>
      </c>
      <c r="R113" s="15" t="s">
        <v>597</v>
      </c>
      <c r="T113" s="2">
        <v>32.912999999999997</v>
      </c>
      <c r="U113" s="2">
        <v>20.013999999999999</v>
      </c>
      <c r="V113" s="15" t="s">
        <v>932</v>
      </c>
      <c r="W113" s="18">
        <f>T113-U113</f>
        <v>12.898999999999997</v>
      </c>
      <c r="X113" s="15"/>
      <c r="Y113" s="15"/>
      <c r="Z113" s="1" t="s">
        <v>129</v>
      </c>
      <c r="AA113" s="15"/>
      <c r="AB113" s="15"/>
      <c r="AC113" s="15"/>
      <c r="AD113" s="15"/>
      <c r="AE113" s="15"/>
      <c r="AF113" s="15"/>
      <c r="AG113" s="29"/>
      <c r="AH113" s="36" t="s">
        <v>129</v>
      </c>
      <c r="AJ113" s="7" t="s">
        <v>1050</v>
      </c>
      <c r="AL113" s="1" t="s">
        <v>12</v>
      </c>
      <c r="AM113" s="15" t="s">
        <v>597</v>
      </c>
      <c r="AN113" t="b">
        <f t="shared" si="0"/>
        <v>1</v>
      </c>
    </row>
    <row r="114" spans="1:40" ht="26.25">
      <c r="A114" s="1">
        <v>58</v>
      </c>
      <c r="B114" s="1" t="s">
        <v>56</v>
      </c>
      <c r="C114" s="2">
        <v>21.085000000000001</v>
      </c>
      <c r="D114" s="2">
        <v>20.390999999999998</v>
      </c>
      <c r="E114" s="8" t="s">
        <v>203</v>
      </c>
      <c r="F114" s="8" t="s">
        <v>203</v>
      </c>
      <c r="G114" s="1" t="s">
        <v>203</v>
      </c>
      <c r="H114" s="1"/>
      <c r="I114" s="1" t="s">
        <v>344</v>
      </c>
      <c r="J114" s="1">
        <v>10</v>
      </c>
      <c r="K114" s="1" t="str">
        <f>CONCATENATE(I114,J114)</f>
        <v>C10</v>
      </c>
      <c r="L114" s="1" t="s">
        <v>358</v>
      </c>
      <c r="M114" s="1">
        <v>75</v>
      </c>
      <c r="N114">
        <v>146</v>
      </c>
      <c r="O114" s="7" t="s">
        <v>369</v>
      </c>
      <c r="Q114" s="1" t="s">
        <v>56</v>
      </c>
      <c r="R114" s="15" t="s">
        <v>467</v>
      </c>
      <c r="T114" s="2">
        <v>21.085000000000001</v>
      </c>
      <c r="U114" s="2">
        <v>20.390999999999998</v>
      </c>
      <c r="V114" s="15" t="s">
        <v>801</v>
      </c>
      <c r="W114" s="18">
        <f>T114-U114</f>
        <v>0.69400000000000261</v>
      </c>
      <c r="X114" s="30">
        <v>475.26</v>
      </c>
      <c r="Y114" s="30">
        <f>(X114-122)/3</f>
        <v>117.75333333333333</v>
      </c>
      <c r="Z114" s="1" t="s">
        <v>203</v>
      </c>
      <c r="AA114" s="15"/>
      <c r="AB114" s="15"/>
      <c r="AC114" s="15"/>
      <c r="AD114" s="15"/>
      <c r="AE114" s="15">
        <v>10619</v>
      </c>
      <c r="AF114" s="15"/>
      <c r="AG114" s="29"/>
      <c r="AH114" s="1" t="s">
        <v>86</v>
      </c>
      <c r="AJ114" s="7" t="s">
        <v>1050</v>
      </c>
      <c r="AL114" s="1" t="s">
        <v>56</v>
      </c>
      <c r="AM114" s="15" t="s">
        <v>467</v>
      </c>
      <c r="AN114" t="b">
        <f t="shared" si="0"/>
        <v>1</v>
      </c>
    </row>
    <row r="115" spans="1:40" ht="26.25">
      <c r="A115" s="1">
        <v>106</v>
      </c>
      <c r="B115" s="1" t="s">
        <v>100</v>
      </c>
      <c r="C115" s="2">
        <v>22.466000000000001</v>
      </c>
      <c r="D115" s="2">
        <v>21.63</v>
      </c>
      <c r="E115" s="8" t="s">
        <v>203</v>
      </c>
      <c r="F115" s="8" t="s">
        <v>203</v>
      </c>
      <c r="G115" s="1" t="s">
        <v>203</v>
      </c>
      <c r="H115" s="1"/>
      <c r="I115" s="1" t="s">
        <v>346</v>
      </c>
      <c r="J115" s="1">
        <v>10</v>
      </c>
      <c r="K115" s="1" t="str">
        <f>CONCATENATE(I115,J115)</f>
        <v>E10</v>
      </c>
      <c r="L115" s="1" t="s">
        <v>358</v>
      </c>
      <c r="M115" s="1">
        <v>77</v>
      </c>
      <c r="N115">
        <v>147</v>
      </c>
      <c r="O115" s="7" t="s">
        <v>369</v>
      </c>
      <c r="Q115" s="1" t="s">
        <v>100</v>
      </c>
      <c r="R115" s="15" t="s">
        <v>468</v>
      </c>
      <c r="T115" s="2">
        <v>22.466000000000001</v>
      </c>
      <c r="U115" s="2">
        <v>21.63</v>
      </c>
      <c r="V115" s="15" t="s">
        <v>802</v>
      </c>
      <c r="W115" s="18">
        <f>T115-U115</f>
        <v>0.83600000000000207</v>
      </c>
      <c r="X115" s="30">
        <v>475.26</v>
      </c>
      <c r="Y115" s="30">
        <f>(X115-122)/3</f>
        <v>117.75333333333333</v>
      </c>
      <c r="Z115" s="1" t="s">
        <v>203</v>
      </c>
      <c r="AA115" s="15"/>
      <c r="AB115" s="15"/>
      <c r="AC115" s="15"/>
      <c r="AD115" s="15"/>
      <c r="AE115" s="15">
        <v>9571</v>
      </c>
      <c r="AF115" s="15"/>
      <c r="AG115" s="29"/>
      <c r="AH115" s="1" t="s">
        <v>86</v>
      </c>
      <c r="AJ115" s="7" t="s">
        <v>1050</v>
      </c>
      <c r="AL115" s="1" t="s">
        <v>100</v>
      </c>
      <c r="AM115" s="15" t="s">
        <v>468</v>
      </c>
      <c r="AN115" t="b">
        <f t="shared" si="0"/>
        <v>1</v>
      </c>
    </row>
    <row r="116" spans="1:40" ht="26.25">
      <c r="A116" s="1">
        <v>154</v>
      </c>
      <c r="B116" s="1" t="s">
        <v>143</v>
      </c>
      <c r="C116" s="2">
        <v>33.6</v>
      </c>
      <c r="D116" s="2">
        <v>20.837</v>
      </c>
      <c r="E116" s="8" t="s">
        <v>366</v>
      </c>
      <c r="F116" s="8" t="s">
        <v>203</v>
      </c>
      <c r="G116" s="1" t="s">
        <v>129</v>
      </c>
      <c r="H116" s="1"/>
      <c r="I116" s="1" t="s">
        <v>348</v>
      </c>
      <c r="J116" s="1">
        <v>10</v>
      </c>
      <c r="K116" s="1" t="str">
        <f>CONCATENATE(I116,J116)</f>
        <v>G10</v>
      </c>
      <c r="L116" s="1" t="s">
        <v>358</v>
      </c>
      <c r="M116" s="1">
        <v>79</v>
      </c>
      <c r="N116">
        <v>148</v>
      </c>
      <c r="O116" s="7" t="s">
        <v>369</v>
      </c>
      <c r="Q116" s="1" t="s">
        <v>143</v>
      </c>
      <c r="R116" s="15" t="s">
        <v>598</v>
      </c>
      <c r="T116" s="2">
        <v>33.6</v>
      </c>
      <c r="U116" s="2">
        <v>20.837</v>
      </c>
      <c r="V116" s="15" t="s">
        <v>933</v>
      </c>
      <c r="W116" s="18">
        <f>T116-U116</f>
        <v>12.763000000000002</v>
      </c>
      <c r="X116" s="15"/>
      <c r="Y116" s="15"/>
      <c r="Z116" s="1" t="s">
        <v>129</v>
      </c>
      <c r="AA116" s="15"/>
      <c r="AB116" s="15"/>
      <c r="AC116" s="15"/>
      <c r="AD116" s="15"/>
      <c r="AE116" s="15"/>
      <c r="AF116" s="15"/>
      <c r="AG116" s="29"/>
      <c r="AH116" s="1" t="s">
        <v>129</v>
      </c>
      <c r="AJ116" s="7" t="s">
        <v>1050</v>
      </c>
      <c r="AL116" s="1" t="s">
        <v>143</v>
      </c>
      <c r="AM116" s="15" t="s">
        <v>598</v>
      </c>
      <c r="AN116" t="b">
        <f t="shared" si="0"/>
        <v>1</v>
      </c>
    </row>
    <row r="117" spans="1:40" ht="26.25">
      <c r="A117" s="1">
        <v>202</v>
      </c>
      <c r="B117" s="1" t="s">
        <v>186</v>
      </c>
      <c r="C117" s="2">
        <v>21.446000000000002</v>
      </c>
      <c r="D117" s="2">
        <v>20.824000000000002</v>
      </c>
      <c r="E117" s="8" t="s">
        <v>203</v>
      </c>
      <c r="F117" s="8" t="s">
        <v>203</v>
      </c>
      <c r="G117" s="1" t="s">
        <v>203</v>
      </c>
      <c r="H117" s="1"/>
      <c r="I117" s="1" t="s">
        <v>350</v>
      </c>
      <c r="J117" s="1">
        <v>10</v>
      </c>
      <c r="K117" s="1" t="str">
        <f>CONCATENATE(I117,J117)</f>
        <v>I10</v>
      </c>
      <c r="L117" s="1" t="s">
        <v>359</v>
      </c>
      <c r="M117" s="1">
        <v>169</v>
      </c>
      <c r="N117">
        <v>149</v>
      </c>
      <c r="O117" s="7" t="s">
        <v>369</v>
      </c>
      <c r="Q117" s="1" t="s">
        <v>186</v>
      </c>
      <c r="R117" s="15" t="s">
        <v>469</v>
      </c>
      <c r="T117" s="2">
        <v>21.446000000000002</v>
      </c>
      <c r="U117" s="2">
        <v>20.824000000000002</v>
      </c>
      <c r="V117" s="15" t="s">
        <v>803</v>
      </c>
      <c r="W117" s="18">
        <f>T117-U117</f>
        <v>0.62199999999999989</v>
      </c>
      <c r="X117" s="30">
        <v>478.25</v>
      </c>
      <c r="Y117" s="30">
        <f>(X117-122)/3</f>
        <v>118.75</v>
      </c>
      <c r="Z117" s="1" t="s">
        <v>203</v>
      </c>
      <c r="AA117" s="15"/>
      <c r="AB117" s="15"/>
      <c r="AC117" s="15"/>
      <c r="AD117" s="15"/>
      <c r="AE117" s="15">
        <v>11749</v>
      </c>
      <c r="AF117" s="15"/>
      <c r="AG117" s="29"/>
      <c r="AH117" s="1" t="s">
        <v>129</v>
      </c>
      <c r="AJ117" s="7" t="s">
        <v>1050</v>
      </c>
      <c r="AL117" s="1" t="s">
        <v>186</v>
      </c>
      <c r="AM117" s="15" t="s">
        <v>469</v>
      </c>
      <c r="AN117" t="b">
        <f t="shared" si="0"/>
        <v>1</v>
      </c>
    </row>
    <row r="118" spans="1:40" ht="26.25">
      <c r="A118" s="1">
        <v>250</v>
      </c>
      <c r="B118" s="1" t="s">
        <v>227</v>
      </c>
      <c r="C118" s="2">
        <v>20.591000000000001</v>
      </c>
      <c r="D118" s="2">
        <v>19.925000000000001</v>
      </c>
      <c r="E118" s="8" t="s">
        <v>203</v>
      </c>
      <c r="F118" s="8" t="s">
        <v>366</v>
      </c>
      <c r="G118" s="1" t="s">
        <v>203</v>
      </c>
      <c r="H118" s="1"/>
      <c r="I118" s="1" t="s">
        <v>352</v>
      </c>
      <c r="J118" s="1">
        <v>10</v>
      </c>
      <c r="K118" s="1" t="str">
        <f>CONCATENATE(I118,J118)</f>
        <v>K10</v>
      </c>
      <c r="L118" s="1" t="s">
        <v>359</v>
      </c>
      <c r="M118" s="1">
        <v>171</v>
      </c>
      <c r="N118">
        <v>150</v>
      </c>
      <c r="O118" s="7" t="s">
        <v>369</v>
      </c>
      <c r="Q118" s="1" t="s">
        <v>227</v>
      </c>
      <c r="R118" s="15" t="s">
        <v>580</v>
      </c>
      <c r="T118" s="2">
        <v>20.591000000000001</v>
      </c>
      <c r="U118" s="2">
        <v>19.925000000000001</v>
      </c>
      <c r="V118" s="15" t="s">
        <v>915</v>
      </c>
      <c r="W118" s="18">
        <f>T118-U118</f>
        <v>0.66600000000000037</v>
      </c>
      <c r="X118" s="30">
        <v>483.93</v>
      </c>
      <c r="Y118" s="30">
        <f>(X118-122)/3</f>
        <v>120.64333333333333</v>
      </c>
      <c r="Z118" s="1" t="s">
        <v>203</v>
      </c>
      <c r="AA118" s="15"/>
      <c r="AB118" s="15"/>
      <c r="AC118" s="15"/>
      <c r="AD118" s="15"/>
      <c r="AE118" s="15">
        <v>8828</v>
      </c>
      <c r="AF118" s="15"/>
      <c r="AG118" s="29"/>
      <c r="AH118" s="1" t="s">
        <v>86</v>
      </c>
      <c r="AJ118" s="7" t="s">
        <v>1050</v>
      </c>
      <c r="AL118" s="1" t="s">
        <v>227</v>
      </c>
      <c r="AM118" s="15" t="s">
        <v>580</v>
      </c>
      <c r="AN118" t="b">
        <f t="shared" si="0"/>
        <v>1</v>
      </c>
    </row>
    <row r="119" spans="1:40" ht="26.25">
      <c r="A119" s="1">
        <v>298</v>
      </c>
      <c r="B119" s="1" t="s">
        <v>267</v>
      </c>
      <c r="C119" s="2">
        <v>20.677</v>
      </c>
      <c r="D119" s="2">
        <v>19.888000000000002</v>
      </c>
      <c r="E119" s="8" t="s">
        <v>203</v>
      </c>
      <c r="F119" s="8" t="s">
        <v>366</v>
      </c>
      <c r="G119" s="1" t="s">
        <v>203</v>
      </c>
      <c r="H119" s="1"/>
      <c r="I119" s="1" t="s">
        <v>353</v>
      </c>
      <c r="J119" s="1">
        <v>10</v>
      </c>
      <c r="K119" s="1" t="str">
        <f>CONCATENATE(I119,J119)</f>
        <v>M10</v>
      </c>
      <c r="L119" s="1" t="s">
        <v>359</v>
      </c>
      <c r="M119" s="1">
        <v>173</v>
      </c>
      <c r="N119">
        <v>151</v>
      </c>
      <c r="O119" s="7" t="s">
        <v>369</v>
      </c>
      <c r="Q119" s="1" t="s">
        <v>267</v>
      </c>
      <c r="R119" s="15" t="s">
        <v>581</v>
      </c>
      <c r="T119" s="2">
        <v>20.677</v>
      </c>
      <c r="U119" s="2">
        <v>19.888000000000002</v>
      </c>
      <c r="V119" s="15" t="s">
        <v>916</v>
      </c>
      <c r="W119" s="18">
        <f>T119-U119</f>
        <v>0.78899999999999793</v>
      </c>
      <c r="X119" s="30">
        <v>475.26</v>
      </c>
      <c r="Y119" s="30">
        <f>(X119-122)/3</f>
        <v>117.75333333333333</v>
      </c>
      <c r="Z119" s="1" t="s">
        <v>203</v>
      </c>
      <c r="AA119" s="15"/>
      <c r="AB119" s="15"/>
      <c r="AC119" s="15"/>
      <c r="AD119" s="15"/>
      <c r="AE119" s="15">
        <v>10988</v>
      </c>
      <c r="AF119" s="15"/>
      <c r="AG119" s="29"/>
      <c r="AH119" s="1" t="s">
        <v>129</v>
      </c>
      <c r="AJ119" s="7" t="s">
        <v>1050</v>
      </c>
      <c r="AL119" s="1" t="s">
        <v>267</v>
      </c>
      <c r="AM119" s="15" t="s">
        <v>581</v>
      </c>
      <c r="AN119" t="b">
        <f t="shared" si="0"/>
        <v>1</v>
      </c>
    </row>
    <row r="120" spans="1:40" ht="26.25">
      <c r="A120" s="1">
        <v>346</v>
      </c>
      <c r="B120" s="1" t="s">
        <v>306</v>
      </c>
      <c r="C120" s="2">
        <v>20.648</v>
      </c>
      <c r="D120" s="2">
        <v>19.974</v>
      </c>
      <c r="E120" s="8" t="s">
        <v>203</v>
      </c>
      <c r="F120" s="8" t="s">
        <v>366</v>
      </c>
      <c r="G120" s="1" t="s">
        <v>203</v>
      </c>
      <c r="H120" s="1"/>
      <c r="I120" s="1" t="s">
        <v>354</v>
      </c>
      <c r="J120" s="1">
        <v>10</v>
      </c>
      <c r="K120" s="1" t="str">
        <f>CONCATENATE(I120,J120)</f>
        <v>O10</v>
      </c>
      <c r="L120" s="1" t="s">
        <v>359</v>
      </c>
      <c r="M120" s="1">
        <v>175</v>
      </c>
      <c r="N120">
        <v>152</v>
      </c>
      <c r="O120" s="7" t="s">
        <v>369</v>
      </c>
      <c r="Q120" s="1" t="s">
        <v>306</v>
      </c>
      <c r="R120" s="15" t="s">
        <v>582</v>
      </c>
      <c r="T120" s="2">
        <v>20.648</v>
      </c>
      <c r="U120" s="2">
        <v>19.974</v>
      </c>
      <c r="V120" s="15" t="s">
        <v>917</v>
      </c>
      <c r="W120" s="18">
        <f>T120-U120</f>
        <v>0.67399999999999949</v>
      </c>
      <c r="X120" s="30">
        <v>480.77</v>
      </c>
      <c r="Y120" s="30">
        <f>(X120-122)/3</f>
        <v>119.58999999999999</v>
      </c>
      <c r="Z120" s="1" t="s">
        <v>203</v>
      </c>
      <c r="AA120" s="15"/>
      <c r="AB120" s="15"/>
      <c r="AC120" s="15"/>
      <c r="AD120" s="15"/>
      <c r="AE120" s="15">
        <v>10069</v>
      </c>
      <c r="AF120" s="15"/>
      <c r="AG120" s="29"/>
      <c r="AH120" s="1" t="s">
        <v>86</v>
      </c>
      <c r="AJ120" s="7" t="s">
        <v>1050</v>
      </c>
      <c r="AL120" s="1" t="s">
        <v>306</v>
      </c>
      <c r="AM120" s="15" t="s">
        <v>582</v>
      </c>
      <c r="AN120" t="b">
        <f t="shared" si="0"/>
        <v>1</v>
      </c>
    </row>
    <row r="121" spans="1:40" ht="26.25">
      <c r="A121" s="1">
        <v>34</v>
      </c>
      <c r="B121" s="1" t="s">
        <v>34</v>
      </c>
      <c r="C121" s="2">
        <v>21.094999999999999</v>
      </c>
      <c r="D121" s="2">
        <v>20.207000000000001</v>
      </c>
      <c r="E121" s="8" t="s">
        <v>203</v>
      </c>
      <c r="F121" s="8" t="s">
        <v>203</v>
      </c>
      <c r="G121" s="1" t="s">
        <v>203</v>
      </c>
      <c r="H121" s="1"/>
      <c r="I121" s="1" t="s">
        <v>343</v>
      </c>
      <c r="J121" s="1">
        <v>10</v>
      </c>
      <c r="K121" s="1" t="str">
        <f>CONCATENATE(I121,J121)</f>
        <v>B10</v>
      </c>
      <c r="L121" s="1" t="s">
        <v>358</v>
      </c>
      <c r="M121" s="1">
        <v>74</v>
      </c>
      <c r="N121">
        <v>153</v>
      </c>
      <c r="O121" s="7" t="s">
        <v>369</v>
      </c>
      <c r="Q121" s="1" t="s">
        <v>34</v>
      </c>
      <c r="R121" s="15" t="s">
        <v>470</v>
      </c>
      <c r="T121" s="2">
        <v>21.094999999999999</v>
      </c>
      <c r="U121" s="2">
        <v>20.207000000000001</v>
      </c>
      <c r="V121" s="15" t="s">
        <v>804</v>
      </c>
      <c r="W121" s="18">
        <f>T121-U121</f>
        <v>0.88799999999999812</v>
      </c>
      <c r="X121" s="30">
        <v>469.18</v>
      </c>
      <c r="Y121" s="30">
        <f>(X121-122)/3</f>
        <v>115.72666666666667</v>
      </c>
      <c r="Z121" s="1" t="s">
        <v>203</v>
      </c>
      <c r="AA121" s="15"/>
      <c r="AB121" s="15"/>
      <c r="AC121" s="15"/>
      <c r="AD121" s="15"/>
      <c r="AE121" s="15">
        <v>9138</v>
      </c>
      <c r="AF121" s="15"/>
      <c r="AG121" s="29"/>
      <c r="AH121" s="1" t="s">
        <v>129</v>
      </c>
      <c r="AJ121" s="7" t="s">
        <v>1050</v>
      </c>
      <c r="AL121" s="1" t="s">
        <v>34</v>
      </c>
      <c r="AM121" s="15" t="s">
        <v>470</v>
      </c>
      <c r="AN121" t="b">
        <f t="shared" si="0"/>
        <v>1</v>
      </c>
    </row>
    <row r="122" spans="1:40" ht="26.25">
      <c r="A122" s="1">
        <v>82</v>
      </c>
      <c r="B122" s="1" t="s">
        <v>78</v>
      </c>
      <c r="C122" s="2">
        <v>21.001999999999999</v>
      </c>
      <c r="D122" s="2">
        <v>20.56</v>
      </c>
      <c r="E122" s="8" t="s">
        <v>203</v>
      </c>
      <c r="F122" s="8" t="s">
        <v>203</v>
      </c>
      <c r="G122" s="1" t="s">
        <v>203</v>
      </c>
      <c r="H122" s="1"/>
      <c r="I122" s="1" t="s">
        <v>345</v>
      </c>
      <c r="J122" s="1">
        <v>10</v>
      </c>
      <c r="K122" s="1" t="str">
        <f>CONCATENATE(I122,J122)</f>
        <v>D10</v>
      </c>
      <c r="L122" s="1" t="s">
        <v>358</v>
      </c>
      <c r="M122" s="1">
        <v>76</v>
      </c>
      <c r="N122">
        <v>154</v>
      </c>
      <c r="O122" s="7" t="s">
        <v>369</v>
      </c>
      <c r="Q122" s="1" t="s">
        <v>78</v>
      </c>
      <c r="R122" s="15" t="s">
        <v>471</v>
      </c>
      <c r="T122" s="2">
        <v>21.001999999999999</v>
      </c>
      <c r="U122" s="2">
        <v>20.56</v>
      </c>
      <c r="V122" s="15" t="s">
        <v>805</v>
      </c>
      <c r="W122" s="18">
        <f>T122-U122</f>
        <v>0.44200000000000017</v>
      </c>
      <c r="X122" s="30">
        <v>483.97</v>
      </c>
      <c r="Y122" s="30">
        <f>(X122-122)/3</f>
        <v>120.65666666666668</v>
      </c>
      <c r="Z122" s="1" t="s">
        <v>203</v>
      </c>
      <c r="AA122" s="15"/>
      <c r="AB122" s="15"/>
      <c r="AC122" s="15"/>
      <c r="AD122" s="15"/>
      <c r="AE122" s="15">
        <v>8967</v>
      </c>
      <c r="AF122" s="15"/>
      <c r="AG122" s="29"/>
      <c r="AH122" s="1" t="s">
        <v>129</v>
      </c>
      <c r="AJ122" s="7" t="s">
        <v>1050</v>
      </c>
      <c r="AL122" s="1" t="s">
        <v>78</v>
      </c>
      <c r="AM122" s="15" t="s">
        <v>471</v>
      </c>
      <c r="AN122" t="b">
        <f t="shared" si="0"/>
        <v>1</v>
      </c>
    </row>
    <row r="123" spans="1:40" ht="26.25">
      <c r="A123" s="1">
        <v>130</v>
      </c>
      <c r="B123" s="1" t="s">
        <v>121</v>
      </c>
      <c r="C123" s="2">
        <v>21.292000000000002</v>
      </c>
      <c r="D123" s="2">
        <v>20.666</v>
      </c>
      <c r="E123" s="8" t="s">
        <v>203</v>
      </c>
      <c r="F123" s="8" t="s">
        <v>203</v>
      </c>
      <c r="G123" s="1" t="s">
        <v>203</v>
      </c>
      <c r="H123" s="1"/>
      <c r="I123" s="1" t="s">
        <v>347</v>
      </c>
      <c r="J123" s="1">
        <v>10</v>
      </c>
      <c r="K123" s="1" t="str">
        <f>CONCATENATE(I123,J123)</f>
        <v>F10</v>
      </c>
      <c r="L123" s="1" t="s">
        <v>358</v>
      </c>
      <c r="M123" s="1">
        <v>78</v>
      </c>
      <c r="N123">
        <v>155</v>
      </c>
      <c r="O123" s="7" t="s">
        <v>369</v>
      </c>
      <c r="Q123" s="1" t="s">
        <v>121</v>
      </c>
      <c r="R123" s="15" t="s">
        <v>472</v>
      </c>
      <c r="T123" s="2">
        <v>21.292000000000002</v>
      </c>
      <c r="U123" s="2">
        <v>20.666</v>
      </c>
      <c r="V123" s="15" t="s">
        <v>806</v>
      </c>
      <c r="W123" s="18">
        <f>T123-U123</f>
        <v>0.62600000000000122</v>
      </c>
      <c r="X123" s="30">
        <v>486.86</v>
      </c>
      <c r="Y123" s="30">
        <f>(X123-122)/3</f>
        <v>121.62</v>
      </c>
      <c r="Z123" s="1" t="s">
        <v>203</v>
      </c>
      <c r="AA123" s="15"/>
      <c r="AB123" s="15"/>
      <c r="AC123" s="15"/>
      <c r="AD123" s="15"/>
      <c r="AE123" s="15">
        <v>9433</v>
      </c>
      <c r="AF123" s="15"/>
      <c r="AG123" s="29"/>
      <c r="AH123" s="1" t="s">
        <v>129</v>
      </c>
      <c r="AJ123" s="7" t="s">
        <v>1050</v>
      </c>
      <c r="AL123" s="1" t="s">
        <v>121</v>
      </c>
      <c r="AM123" s="15" t="s">
        <v>472</v>
      </c>
      <c r="AN123" t="b">
        <f t="shared" si="0"/>
        <v>1</v>
      </c>
    </row>
    <row r="124" spans="1:40" ht="26.25">
      <c r="A124" s="1">
        <v>178</v>
      </c>
      <c r="B124" s="1" t="s">
        <v>164</v>
      </c>
      <c r="C124" s="2">
        <v>23.855</v>
      </c>
      <c r="D124" s="2">
        <v>22.948</v>
      </c>
      <c r="E124" s="8" t="s">
        <v>203</v>
      </c>
      <c r="F124" s="8" t="s">
        <v>203</v>
      </c>
      <c r="G124" s="1" t="s">
        <v>203</v>
      </c>
      <c r="H124" s="1"/>
      <c r="I124" s="1" t="s">
        <v>349</v>
      </c>
      <c r="J124" s="1">
        <v>10</v>
      </c>
      <c r="K124" s="1" t="str">
        <f>CONCATENATE(I124,J124)</f>
        <v>H10</v>
      </c>
      <c r="L124" s="1" t="s">
        <v>358</v>
      </c>
      <c r="M124" s="1">
        <v>80</v>
      </c>
      <c r="N124">
        <v>156</v>
      </c>
      <c r="O124" s="7" t="s">
        <v>369</v>
      </c>
      <c r="Q124" s="1" t="s">
        <v>164</v>
      </c>
      <c r="R124" s="15" t="s">
        <v>473</v>
      </c>
      <c r="T124" s="2">
        <v>23.855</v>
      </c>
      <c r="U124" s="2">
        <v>22.948</v>
      </c>
      <c r="V124" s="15" t="s">
        <v>807</v>
      </c>
      <c r="W124" s="18">
        <f>T124-U124</f>
        <v>0.90700000000000003</v>
      </c>
      <c r="X124" s="30">
        <v>486.96</v>
      </c>
      <c r="Y124" s="30">
        <f>(X124-122)/3</f>
        <v>121.65333333333332</v>
      </c>
      <c r="Z124" s="1" t="s">
        <v>203</v>
      </c>
      <c r="AA124" s="15"/>
      <c r="AB124" s="15"/>
      <c r="AC124" s="15"/>
      <c r="AD124" s="15"/>
      <c r="AE124" s="15">
        <v>6693</v>
      </c>
      <c r="AF124" s="15"/>
      <c r="AG124" s="29"/>
      <c r="AH124" s="1" t="s">
        <v>129</v>
      </c>
      <c r="AJ124" s="7" t="s">
        <v>1050</v>
      </c>
      <c r="AL124" s="1" t="s">
        <v>164</v>
      </c>
      <c r="AM124" s="15" t="s">
        <v>473</v>
      </c>
      <c r="AN124" t="b">
        <f t="shared" si="0"/>
        <v>1</v>
      </c>
    </row>
    <row r="125" spans="1:40" ht="26.25">
      <c r="A125" s="1">
        <v>226</v>
      </c>
      <c r="B125" s="1" t="s">
        <v>207</v>
      </c>
      <c r="C125" s="2">
        <v>22.233000000000001</v>
      </c>
      <c r="D125" s="2">
        <v>21.407</v>
      </c>
      <c r="E125" s="8" t="s">
        <v>203</v>
      </c>
      <c r="F125" s="8" t="s">
        <v>203</v>
      </c>
      <c r="G125" s="1" t="s">
        <v>203</v>
      </c>
      <c r="H125" s="1"/>
      <c r="I125" s="1" t="s">
        <v>351</v>
      </c>
      <c r="J125" s="1">
        <v>10</v>
      </c>
      <c r="K125" s="1" t="str">
        <f>CONCATENATE(I125,J125)</f>
        <v>J10</v>
      </c>
      <c r="L125" s="1" t="s">
        <v>359</v>
      </c>
      <c r="M125" s="1">
        <v>170</v>
      </c>
      <c r="N125">
        <v>157</v>
      </c>
      <c r="O125" s="7" t="s">
        <v>369</v>
      </c>
      <c r="Q125" s="1" t="s">
        <v>207</v>
      </c>
      <c r="R125" s="15" t="s">
        <v>474</v>
      </c>
      <c r="T125" s="2">
        <v>22.233000000000001</v>
      </c>
      <c r="U125" s="2">
        <v>21.407</v>
      </c>
      <c r="V125" s="15" t="s">
        <v>808</v>
      </c>
      <c r="W125" s="18">
        <f>T125-U125</f>
        <v>0.82600000000000051</v>
      </c>
      <c r="X125" s="30">
        <v>486.89</v>
      </c>
      <c r="Y125" s="30">
        <f>(X125-122)/3</f>
        <v>121.63</v>
      </c>
      <c r="Z125" s="1" t="s">
        <v>203</v>
      </c>
      <c r="AA125" s="15"/>
      <c r="AB125" s="15"/>
      <c r="AC125" s="15"/>
      <c r="AD125" s="15"/>
      <c r="AE125" s="15">
        <v>11256</v>
      </c>
      <c r="AF125" s="15"/>
      <c r="AG125" s="29"/>
      <c r="AH125" s="1" t="s">
        <v>129</v>
      </c>
      <c r="AJ125" s="7" t="s">
        <v>1050</v>
      </c>
      <c r="AL125" s="1" t="s">
        <v>207</v>
      </c>
      <c r="AM125" s="15" t="s">
        <v>474</v>
      </c>
      <c r="AN125" t="b">
        <f t="shared" si="0"/>
        <v>1</v>
      </c>
    </row>
    <row r="126" spans="1:40" ht="26.25">
      <c r="A126" s="1">
        <v>274</v>
      </c>
      <c r="B126" s="1" t="s">
        <v>247</v>
      </c>
      <c r="C126" s="2">
        <v>21.006</v>
      </c>
      <c r="D126" s="2">
        <v>20.381</v>
      </c>
      <c r="E126" s="8" t="s">
        <v>203</v>
      </c>
      <c r="F126" s="8" t="s">
        <v>203</v>
      </c>
      <c r="G126" s="1" t="s">
        <v>203</v>
      </c>
      <c r="H126" s="1"/>
      <c r="I126" s="1" t="s">
        <v>357</v>
      </c>
      <c r="J126" s="1">
        <v>10</v>
      </c>
      <c r="K126" s="1" t="str">
        <f>CONCATENATE(I126,J126)</f>
        <v>L10</v>
      </c>
      <c r="L126" s="1" t="s">
        <v>359</v>
      </c>
      <c r="M126" s="1">
        <v>172</v>
      </c>
      <c r="N126">
        <v>158</v>
      </c>
      <c r="O126" s="7" t="s">
        <v>369</v>
      </c>
      <c r="Q126" s="1" t="s">
        <v>247</v>
      </c>
      <c r="R126" s="15" t="s">
        <v>475</v>
      </c>
      <c r="T126" s="2">
        <v>21.006</v>
      </c>
      <c r="U126" s="2">
        <v>20.381</v>
      </c>
      <c r="V126" s="15" t="s">
        <v>809</v>
      </c>
      <c r="W126" s="18">
        <f>T126-U126</f>
        <v>0.625</v>
      </c>
      <c r="X126" s="30">
        <v>484</v>
      </c>
      <c r="Y126" s="30">
        <f>(X126-122)/3</f>
        <v>120.66666666666667</v>
      </c>
      <c r="Z126" s="1" t="s">
        <v>203</v>
      </c>
      <c r="AA126" s="15"/>
      <c r="AB126" s="15"/>
      <c r="AC126" s="15"/>
      <c r="AD126" s="15"/>
      <c r="AE126" s="15">
        <v>9448</v>
      </c>
      <c r="AF126" s="15"/>
      <c r="AG126" s="29"/>
      <c r="AH126" s="1" t="s">
        <v>129</v>
      </c>
      <c r="AJ126" s="7" t="s">
        <v>1050</v>
      </c>
      <c r="AL126" s="1" t="s">
        <v>247</v>
      </c>
      <c r="AM126" s="15" t="s">
        <v>475</v>
      </c>
      <c r="AN126" t="b">
        <f t="shared" si="0"/>
        <v>1</v>
      </c>
    </row>
    <row r="127" spans="1:40" ht="26.25">
      <c r="A127" s="1">
        <v>322</v>
      </c>
      <c r="B127" s="1" t="s">
        <v>286</v>
      </c>
      <c r="C127" s="2">
        <v>22.983000000000001</v>
      </c>
      <c r="D127" s="2">
        <v>22.507000000000001</v>
      </c>
      <c r="E127" s="8" t="s">
        <v>203</v>
      </c>
      <c r="F127" s="8" t="s">
        <v>203</v>
      </c>
      <c r="G127" s="1" t="s">
        <v>203</v>
      </c>
      <c r="H127" s="1"/>
      <c r="I127" s="1" t="s">
        <v>4</v>
      </c>
      <c r="J127" s="1">
        <v>10</v>
      </c>
      <c r="K127" s="1" t="str">
        <f>CONCATENATE(I127,J127)</f>
        <v>N10</v>
      </c>
      <c r="L127" s="1" t="s">
        <v>359</v>
      </c>
      <c r="M127" s="1">
        <v>174</v>
      </c>
      <c r="N127">
        <v>159</v>
      </c>
      <c r="O127" s="7" t="s">
        <v>369</v>
      </c>
      <c r="Q127" s="1" t="s">
        <v>286</v>
      </c>
      <c r="R127" s="15" t="s">
        <v>476</v>
      </c>
      <c r="T127" s="2">
        <v>22.983000000000001</v>
      </c>
      <c r="U127" s="2">
        <v>22.507000000000001</v>
      </c>
      <c r="V127" s="15" t="s">
        <v>810</v>
      </c>
      <c r="W127" s="18">
        <f>T127-U127</f>
        <v>0.47599999999999909</v>
      </c>
      <c r="X127" s="30">
        <v>478.02</v>
      </c>
      <c r="Y127" s="30">
        <f>(X127-122)/3</f>
        <v>118.67333333333333</v>
      </c>
      <c r="Z127" s="1" t="s">
        <v>203</v>
      </c>
      <c r="AA127" s="15"/>
      <c r="AB127" s="15"/>
      <c r="AC127" s="15"/>
      <c r="AD127" s="15"/>
      <c r="AE127" s="15">
        <v>8226</v>
      </c>
      <c r="AF127" s="15"/>
      <c r="AG127" s="29"/>
      <c r="AH127" s="1" t="s">
        <v>86</v>
      </c>
      <c r="AJ127" s="7" t="s">
        <v>1050</v>
      </c>
      <c r="AL127" s="1" t="s">
        <v>286</v>
      </c>
      <c r="AM127" s="15" t="s">
        <v>476</v>
      </c>
      <c r="AN127" t="b">
        <f t="shared" si="0"/>
        <v>1</v>
      </c>
    </row>
    <row r="128" spans="1:40" ht="26.25">
      <c r="A128" s="1">
        <v>370</v>
      </c>
      <c r="B128" s="1" t="s">
        <v>325</v>
      </c>
      <c r="C128" s="2">
        <v>24.812000000000001</v>
      </c>
      <c r="D128" s="2">
        <v>24.22</v>
      </c>
      <c r="E128" s="8" t="s">
        <v>203</v>
      </c>
      <c r="F128" s="8" t="s">
        <v>203</v>
      </c>
      <c r="G128" s="1" t="s">
        <v>203</v>
      </c>
      <c r="H128" s="1"/>
      <c r="I128" s="1" t="s">
        <v>355</v>
      </c>
      <c r="J128" s="1">
        <v>10</v>
      </c>
      <c r="K128" s="1" t="str">
        <f>CONCATENATE(I128,J128)</f>
        <v>P10</v>
      </c>
      <c r="L128" s="1" t="s">
        <v>359</v>
      </c>
      <c r="M128" s="1">
        <v>176</v>
      </c>
      <c r="N128">
        <v>160</v>
      </c>
      <c r="O128" s="7" t="s">
        <v>369</v>
      </c>
      <c r="Q128" s="1" t="s">
        <v>325</v>
      </c>
      <c r="R128" s="15" t="s">
        <v>477</v>
      </c>
      <c r="T128" s="2">
        <v>24.812000000000001</v>
      </c>
      <c r="U128" s="2">
        <v>24.22</v>
      </c>
      <c r="V128" s="15" t="s">
        <v>811</v>
      </c>
      <c r="W128" s="18">
        <f>T128-U128</f>
        <v>0.5920000000000023</v>
      </c>
      <c r="X128" s="30">
        <v>480.98</v>
      </c>
      <c r="Y128" s="30">
        <f>(X128-122)/3</f>
        <v>119.66000000000001</v>
      </c>
      <c r="Z128" s="1" t="s">
        <v>203</v>
      </c>
      <c r="AA128" s="15"/>
      <c r="AB128" s="15"/>
      <c r="AC128" s="15"/>
      <c r="AD128" s="15"/>
      <c r="AE128" s="15">
        <v>4549</v>
      </c>
      <c r="AF128" s="15"/>
      <c r="AG128" s="29"/>
      <c r="AH128" s="1" t="s">
        <v>129</v>
      </c>
      <c r="AJ128" s="7" t="s">
        <v>1050</v>
      </c>
      <c r="AL128" s="1" t="s">
        <v>325</v>
      </c>
      <c r="AM128" s="15" t="s">
        <v>477</v>
      </c>
      <c r="AN128" t="b">
        <f t="shared" si="0"/>
        <v>1</v>
      </c>
    </row>
    <row r="129" spans="1:40" ht="26.25">
      <c r="A129" s="1">
        <v>11</v>
      </c>
      <c r="B129" s="1" t="s">
        <v>13</v>
      </c>
      <c r="C129" s="2">
        <v>22.885000000000002</v>
      </c>
      <c r="D129" s="2">
        <v>22.37</v>
      </c>
      <c r="E129" s="8" t="s">
        <v>203</v>
      </c>
      <c r="F129" s="8" t="s">
        <v>203</v>
      </c>
      <c r="G129" s="1" t="s">
        <v>203</v>
      </c>
      <c r="H129" s="1"/>
      <c r="I129" s="1" t="s">
        <v>342</v>
      </c>
      <c r="J129" s="1">
        <v>11</v>
      </c>
      <c r="K129" s="1" t="str">
        <f>CONCATENATE(I129,J129)</f>
        <v>A11</v>
      </c>
      <c r="L129" s="1" t="s">
        <v>358</v>
      </c>
      <c r="M129" s="1">
        <v>81</v>
      </c>
      <c r="N129">
        <v>161</v>
      </c>
      <c r="O129" s="7" t="s">
        <v>369</v>
      </c>
      <c r="Q129" s="1" t="s">
        <v>13</v>
      </c>
      <c r="R129" s="15" t="s">
        <v>478</v>
      </c>
      <c r="T129" s="2">
        <v>22.885000000000002</v>
      </c>
      <c r="U129" s="2">
        <v>22.37</v>
      </c>
      <c r="V129" s="15" t="s">
        <v>812</v>
      </c>
      <c r="W129" s="18">
        <f>T129-U129</f>
        <v>0.51500000000000057</v>
      </c>
      <c r="X129" s="30">
        <v>486.66</v>
      </c>
      <c r="Y129" s="30">
        <f>(X129-122)/3</f>
        <v>121.55333333333334</v>
      </c>
      <c r="Z129" s="1" t="s">
        <v>203</v>
      </c>
      <c r="AA129" s="15"/>
      <c r="AB129" s="15"/>
      <c r="AC129" s="15"/>
      <c r="AD129" s="15"/>
      <c r="AE129" s="15">
        <v>6597</v>
      </c>
      <c r="AF129" s="15"/>
      <c r="AG129" s="29"/>
      <c r="AH129" s="1" t="s">
        <v>129</v>
      </c>
      <c r="AJ129" s="7" t="s">
        <v>1050</v>
      </c>
      <c r="AL129" s="1" t="s">
        <v>13</v>
      </c>
      <c r="AM129" s="15" t="s">
        <v>478</v>
      </c>
      <c r="AN129" t="b">
        <f t="shared" si="0"/>
        <v>1</v>
      </c>
    </row>
    <row r="130" spans="1:40" ht="26.25">
      <c r="A130" s="1">
        <v>59</v>
      </c>
      <c r="B130" s="1" t="s">
        <v>57</v>
      </c>
      <c r="C130" s="2">
        <v>34.841999999999999</v>
      </c>
      <c r="D130" s="2">
        <v>22.638000000000002</v>
      </c>
      <c r="E130" s="8" t="s">
        <v>366</v>
      </c>
      <c r="F130" s="8" t="s">
        <v>203</v>
      </c>
      <c r="G130" s="1" t="s">
        <v>129</v>
      </c>
      <c r="H130" s="1"/>
      <c r="I130" s="1" t="s">
        <v>344</v>
      </c>
      <c r="J130" s="1">
        <v>11</v>
      </c>
      <c r="K130" s="1" t="str">
        <f>CONCATENATE(I130,J130)</f>
        <v>C11</v>
      </c>
      <c r="L130" s="1" t="s">
        <v>358</v>
      </c>
      <c r="M130" s="1">
        <v>83</v>
      </c>
      <c r="N130">
        <v>162</v>
      </c>
      <c r="O130" s="7" t="s">
        <v>369</v>
      </c>
      <c r="Q130" s="1" t="s">
        <v>57</v>
      </c>
      <c r="R130" s="15" t="s">
        <v>599</v>
      </c>
      <c r="T130" s="2">
        <v>34.841999999999999</v>
      </c>
      <c r="U130" s="2">
        <v>22.638000000000002</v>
      </c>
      <c r="V130" s="15" t="s">
        <v>934</v>
      </c>
      <c r="W130" s="18">
        <f>T130-U130</f>
        <v>12.203999999999997</v>
      </c>
      <c r="X130" s="15"/>
      <c r="Y130" s="15"/>
      <c r="Z130" s="1" t="s">
        <v>129</v>
      </c>
      <c r="AA130" s="15"/>
      <c r="AB130" s="15"/>
      <c r="AC130" s="15"/>
      <c r="AD130" s="15"/>
      <c r="AE130" s="15"/>
      <c r="AF130" s="15"/>
      <c r="AG130" s="29"/>
      <c r="AH130" s="1" t="s">
        <v>86</v>
      </c>
      <c r="AJ130" s="7" t="s">
        <v>1050</v>
      </c>
      <c r="AL130" s="1" t="s">
        <v>57</v>
      </c>
      <c r="AM130" s="15" t="s">
        <v>599</v>
      </c>
      <c r="AN130" t="b">
        <f t="shared" si="0"/>
        <v>1</v>
      </c>
    </row>
    <row r="131" spans="1:40" ht="26.25">
      <c r="A131" s="1">
        <v>107</v>
      </c>
      <c r="B131" s="1" t="s">
        <v>101</v>
      </c>
      <c r="C131" s="2" t="s">
        <v>129</v>
      </c>
      <c r="D131" s="2">
        <v>23.497</v>
      </c>
      <c r="E131" s="8" t="s">
        <v>129</v>
      </c>
      <c r="F131" s="8" t="s">
        <v>203</v>
      </c>
      <c r="G131" s="1" t="s">
        <v>129</v>
      </c>
      <c r="H131" s="1"/>
      <c r="I131" s="1" t="s">
        <v>346</v>
      </c>
      <c r="J131" s="1">
        <v>11</v>
      </c>
      <c r="K131" s="1" t="str">
        <f>CONCATENATE(I131,J131)</f>
        <v>E11</v>
      </c>
      <c r="L131" s="1" t="s">
        <v>358</v>
      </c>
      <c r="M131" s="1">
        <v>85</v>
      </c>
      <c r="N131">
        <v>163</v>
      </c>
      <c r="O131" s="7" t="s">
        <v>369</v>
      </c>
      <c r="Q131" s="1" t="s">
        <v>101</v>
      </c>
      <c r="R131" s="15" t="s">
        <v>645</v>
      </c>
      <c r="T131" s="2" t="s">
        <v>129</v>
      </c>
      <c r="U131" s="2">
        <v>23.497</v>
      </c>
      <c r="V131" s="15" t="s">
        <v>980</v>
      </c>
      <c r="W131" s="18" t="e">
        <f>T131-U131</f>
        <v>#VALUE!</v>
      </c>
      <c r="X131" s="15"/>
      <c r="Y131" s="15"/>
      <c r="Z131" s="1" t="s">
        <v>129</v>
      </c>
      <c r="AA131" s="15"/>
      <c r="AB131" s="15"/>
      <c r="AC131" s="15"/>
      <c r="AD131" s="15"/>
      <c r="AE131" s="15"/>
      <c r="AF131" s="15"/>
      <c r="AG131" s="29"/>
      <c r="AH131" s="1" t="s">
        <v>86</v>
      </c>
      <c r="AJ131" s="7" t="s">
        <v>1050</v>
      </c>
      <c r="AL131" s="1" t="s">
        <v>101</v>
      </c>
      <c r="AM131" s="15" t="s">
        <v>645</v>
      </c>
      <c r="AN131" t="b">
        <f t="shared" ref="AN131:AN194" si="1">R131=AM131</f>
        <v>1</v>
      </c>
    </row>
    <row r="132" spans="1:40" ht="26.25">
      <c r="A132" s="1">
        <v>155</v>
      </c>
      <c r="B132" s="1" t="s">
        <v>144</v>
      </c>
      <c r="C132" s="2" t="s">
        <v>129</v>
      </c>
      <c r="D132" s="2">
        <v>21.338000000000001</v>
      </c>
      <c r="E132" s="8" t="s">
        <v>129</v>
      </c>
      <c r="F132" s="8" t="s">
        <v>203</v>
      </c>
      <c r="G132" s="1" t="s">
        <v>129</v>
      </c>
      <c r="H132" s="1"/>
      <c r="I132" s="1" t="s">
        <v>348</v>
      </c>
      <c r="J132" s="1">
        <v>11</v>
      </c>
      <c r="K132" s="1" t="str">
        <f>CONCATENATE(I132,J132)</f>
        <v>G11</v>
      </c>
      <c r="L132" s="1" t="s">
        <v>358</v>
      </c>
      <c r="M132" s="1">
        <v>87</v>
      </c>
      <c r="N132">
        <v>164</v>
      </c>
      <c r="O132" s="7" t="s">
        <v>369</v>
      </c>
      <c r="Q132" s="1" t="s">
        <v>144</v>
      </c>
      <c r="R132" s="15" t="s">
        <v>646</v>
      </c>
      <c r="T132" s="2" t="s">
        <v>129</v>
      </c>
      <c r="U132" s="2">
        <v>21.338000000000001</v>
      </c>
      <c r="V132" s="15" t="s">
        <v>981</v>
      </c>
      <c r="W132" s="18" t="e">
        <f>T132-U132</f>
        <v>#VALUE!</v>
      </c>
      <c r="X132" s="15"/>
      <c r="Y132" s="15"/>
      <c r="Z132" s="1" t="s">
        <v>129</v>
      </c>
      <c r="AA132" s="15"/>
      <c r="AB132" s="15"/>
      <c r="AC132" s="15"/>
      <c r="AD132" s="15"/>
      <c r="AE132" s="15"/>
      <c r="AF132" s="15"/>
      <c r="AG132" s="29"/>
      <c r="AH132" s="1" t="s">
        <v>129</v>
      </c>
      <c r="AJ132" s="7" t="s">
        <v>1050</v>
      </c>
      <c r="AL132" s="1" t="s">
        <v>144</v>
      </c>
      <c r="AM132" s="15" t="s">
        <v>646</v>
      </c>
      <c r="AN132" t="b">
        <f t="shared" si="1"/>
        <v>1</v>
      </c>
    </row>
    <row r="133" spans="1:40" ht="26.25">
      <c r="A133" s="1">
        <v>203</v>
      </c>
      <c r="B133" s="1" t="s">
        <v>187</v>
      </c>
      <c r="C133" s="2">
        <v>24.652000000000001</v>
      </c>
      <c r="D133" s="2">
        <v>24.05</v>
      </c>
      <c r="E133" s="8" t="s">
        <v>203</v>
      </c>
      <c r="F133" s="8" t="s">
        <v>203</v>
      </c>
      <c r="G133" s="1" t="s">
        <v>203</v>
      </c>
      <c r="H133" s="1"/>
      <c r="I133" s="1" t="s">
        <v>350</v>
      </c>
      <c r="J133" s="1">
        <v>11</v>
      </c>
      <c r="K133" s="1" t="str">
        <f>CONCATENATE(I133,J133)</f>
        <v>I11</v>
      </c>
      <c r="L133" s="1" t="s">
        <v>359</v>
      </c>
      <c r="M133" s="1">
        <v>177</v>
      </c>
      <c r="N133">
        <v>165</v>
      </c>
      <c r="O133" s="7" t="s">
        <v>369</v>
      </c>
      <c r="Q133" s="1" t="s">
        <v>187</v>
      </c>
      <c r="R133" s="15" t="s">
        <v>479</v>
      </c>
      <c r="T133" s="2">
        <v>24.652000000000001</v>
      </c>
      <c r="U133" s="2">
        <v>24.05</v>
      </c>
      <c r="V133" s="15" t="s">
        <v>813</v>
      </c>
      <c r="W133" s="18">
        <f>T133-U133</f>
        <v>0.60200000000000031</v>
      </c>
      <c r="X133" s="30">
        <v>481.04</v>
      </c>
      <c r="Y133" s="30">
        <f>(X133-122)/3</f>
        <v>119.68</v>
      </c>
      <c r="Z133" s="1" t="s">
        <v>203</v>
      </c>
      <c r="AA133" s="15"/>
      <c r="AB133" s="15"/>
      <c r="AC133" s="15"/>
      <c r="AD133" s="15"/>
      <c r="AE133" s="15">
        <v>6914</v>
      </c>
      <c r="AF133" s="15"/>
      <c r="AG133" s="29"/>
      <c r="AH133" s="1" t="s">
        <v>129</v>
      </c>
      <c r="AJ133" s="7" t="s">
        <v>1050</v>
      </c>
      <c r="AL133" s="1" t="s">
        <v>187</v>
      </c>
      <c r="AM133" s="15" t="s">
        <v>479</v>
      </c>
      <c r="AN133" t="b">
        <f t="shared" si="1"/>
        <v>1</v>
      </c>
    </row>
    <row r="134" spans="1:40" ht="26.25">
      <c r="A134" s="1">
        <v>251</v>
      </c>
      <c r="B134" s="1" t="s">
        <v>228</v>
      </c>
      <c r="C134" s="2">
        <v>20.978999999999999</v>
      </c>
      <c r="D134" s="2">
        <v>20.527999999999999</v>
      </c>
      <c r="E134" s="8" t="s">
        <v>203</v>
      </c>
      <c r="F134" s="8" t="s">
        <v>203</v>
      </c>
      <c r="G134" s="1" t="s">
        <v>203</v>
      </c>
      <c r="H134" s="1"/>
      <c r="I134" s="1" t="s">
        <v>352</v>
      </c>
      <c r="J134" s="1">
        <v>11</v>
      </c>
      <c r="K134" s="1" t="str">
        <f>CONCATENATE(I134,J134)</f>
        <v>K11</v>
      </c>
      <c r="L134" s="1" t="s">
        <v>359</v>
      </c>
      <c r="M134" s="1">
        <v>179</v>
      </c>
      <c r="N134">
        <v>166</v>
      </c>
      <c r="O134" s="7" t="s">
        <v>369</v>
      </c>
      <c r="Q134" s="1" t="s">
        <v>228</v>
      </c>
      <c r="R134" s="15" t="s">
        <v>480</v>
      </c>
      <c r="T134" s="2">
        <v>20.978999999999999</v>
      </c>
      <c r="U134" s="2">
        <v>20.527999999999999</v>
      </c>
      <c r="V134" s="15" t="s">
        <v>814</v>
      </c>
      <c r="W134" s="18">
        <f>T134-U134</f>
        <v>0.45100000000000051</v>
      </c>
      <c r="X134" s="30">
        <v>483.93</v>
      </c>
      <c r="Y134" s="30">
        <f>(X134-122)/3</f>
        <v>120.64333333333333</v>
      </c>
      <c r="Z134" s="1" t="s">
        <v>203</v>
      </c>
      <c r="AA134" s="15"/>
      <c r="AB134" s="15"/>
      <c r="AC134" s="15"/>
      <c r="AD134" s="15"/>
      <c r="AE134" s="15">
        <v>11694</v>
      </c>
      <c r="AF134" s="15"/>
      <c r="AG134" s="29"/>
      <c r="AH134" s="1" t="s">
        <v>129</v>
      </c>
      <c r="AJ134" s="7" t="s">
        <v>1050</v>
      </c>
      <c r="AL134" s="1" t="s">
        <v>228</v>
      </c>
      <c r="AM134" s="15" t="s">
        <v>480</v>
      </c>
      <c r="AN134" t="b">
        <f t="shared" si="1"/>
        <v>1</v>
      </c>
    </row>
    <row r="135" spans="1:40" ht="26.25">
      <c r="A135" s="1">
        <v>299</v>
      </c>
      <c r="B135" s="1" t="s">
        <v>268</v>
      </c>
      <c r="C135" s="2">
        <v>32.966000000000001</v>
      </c>
      <c r="D135" s="2">
        <v>19.994</v>
      </c>
      <c r="E135" s="8" t="s">
        <v>366</v>
      </c>
      <c r="F135" s="8" t="s">
        <v>366</v>
      </c>
      <c r="G135" s="1" t="s">
        <v>129</v>
      </c>
      <c r="H135" s="1"/>
      <c r="I135" s="1" t="s">
        <v>353</v>
      </c>
      <c r="J135" s="1">
        <v>11</v>
      </c>
      <c r="K135" s="1" t="str">
        <f>CONCATENATE(I135,J135)</f>
        <v>M11</v>
      </c>
      <c r="L135" s="1" t="s">
        <v>359</v>
      </c>
      <c r="M135" s="1">
        <v>181</v>
      </c>
      <c r="N135">
        <v>167</v>
      </c>
      <c r="O135" s="7" t="s">
        <v>369</v>
      </c>
      <c r="Q135" s="1" t="s">
        <v>268</v>
      </c>
      <c r="R135" s="15" t="s">
        <v>632</v>
      </c>
      <c r="T135" s="2">
        <v>32.966000000000001</v>
      </c>
      <c r="U135" s="2">
        <v>19.994</v>
      </c>
      <c r="V135" s="15" t="s">
        <v>967</v>
      </c>
      <c r="W135" s="18">
        <f>T135-U135</f>
        <v>12.972000000000001</v>
      </c>
      <c r="X135" s="15"/>
      <c r="Y135" s="15"/>
      <c r="Z135" s="1" t="s">
        <v>129</v>
      </c>
      <c r="AA135" s="15"/>
      <c r="AB135" s="15"/>
      <c r="AC135" s="15"/>
      <c r="AD135" s="15"/>
      <c r="AE135" s="15"/>
      <c r="AF135" s="15"/>
      <c r="AG135" s="29"/>
      <c r="AH135" s="1" t="s">
        <v>86</v>
      </c>
      <c r="AJ135" s="7" t="s">
        <v>1050</v>
      </c>
      <c r="AL135" s="1" t="s">
        <v>268</v>
      </c>
      <c r="AM135" s="15" t="s">
        <v>632</v>
      </c>
      <c r="AN135" t="b">
        <f t="shared" si="1"/>
        <v>1</v>
      </c>
    </row>
    <row r="136" spans="1:40" ht="26.25">
      <c r="A136" s="1">
        <v>347</v>
      </c>
      <c r="B136" s="1" t="s">
        <v>307</v>
      </c>
      <c r="C136" s="2" t="s">
        <v>129</v>
      </c>
      <c r="D136" s="2">
        <v>19.649999999999999</v>
      </c>
      <c r="E136" s="8" t="s">
        <v>129</v>
      </c>
      <c r="F136" s="8" t="s">
        <v>366</v>
      </c>
      <c r="G136" s="1" t="s">
        <v>129</v>
      </c>
      <c r="H136" s="1"/>
      <c r="I136" s="1" t="s">
        <v>354</v>
      </c>
      <c r="J136" s="1">
        <v>11</v>
      </c>
      <c r="K136" s="1" t="str">
        <f>CONCATENATE(I136,J136)</f>
        <v>O11</v>
      </c>
      <c r="L136" s="1" t="s">
        <v>359</v>
      </c>
      <c r="M136" s="1">
        <v>183</v>
      </c>
      <c r="N136">
        <v>168</v>
      </c>
      <c r="O136" s="7" t="s">
        <v>369</v>
      </c>
      <c r="Q136" s="1" t="s">
        <v>307</v>
      </c>
      <c r="R136" s="15" t="s">
        <v>697</v>
      </c>
      <c r="T136" s="2" t="s">
        <v>129</v>
      </c>
      <c r="U136" s="2">
        <v>19.649999999999999</v>
      </c>
      <c r="V136" s="15" t="s">
        <v>1032</v>
      </c>
      <c r="W136" s="18" t="e">
        <f>T136-U136</f>
        <v>#VALUE!</v>
      </c>
      <c r="X136" s="15"/>
      <c r="Y136" s="15"/>
      <c r="Z136" s="1" t="s">
        <v>129</v>
      </c>
      <c r="AA136" s="15"/>
      <c r="AB136" s="15"/>
      <c r="AC136" s="15"/>
      <c r="AD136" s="15"/>
      <c r="AE136" s="15"/>
      <c r="AF136" s="15"/>
      <c r="AG136" s="29"/>
      <c r="AH136" s="1" t="s">
        <v>129</v>
      </c>
      <c r="AJ136" s="7" t="s">
        <v>1050</v>
      </c>
      <c r="AL136" s="1" t="s">
        <v>307</v>
      </c>
      <c r="AM136" s="15" t="s">
        <v>697</v>
      </c>
      <c r="AN136" t="b">
        <f t="shared" si="1"/>
        <v>1</v>
      </c>
    </row>
    <row r="137" spans="1:40" ht="26.25">
      <c r="A137" s="1">
        <v>35</v>
      </c>
      <c r="B137" s="1" t="s">
        <v>35</v>
      </c>
      <c r="C137" s="2">
        <v>21.113</v>
      </c>
      <c r="D137" s="2">
        <v>20.353000000000002</v>
      </c>
      <c r="E137" s="8" t="s">
        <v>203</v>
      </c>
      <c r="F137" s="8" t="s">
        <v>203</v>
      </c>
      <c r="G137" s="1" t="s">
        <v>203</v>
      </c>
      <c r="H137" s="1"/>
      <c r="I137" s="1" t="s">
        <v>343</v>
      </c>
      <c r="J137" s="1">
        <v>11</v>
      </c>
      <c r="K137" s="1" t="str">
        <f>CONCATENATE(I137,J137)</f>
        <v>B11</v>
      </c>
      <c r="L137" s="1" t="s">
        <v>358</v>
      </c>
      <c r="M137" s="1">
        <v>82</v>
      </c>
      <c r="N137">
        <v>169</v>
      </c>
      <c r="O137" s="7" t="s">
        <v>369</v>
      </c>
      <c r="Q137" s="1" t="s">
        <v>35</v>
      </c>
      <c r="R137" s="15" t="s">
        <v>481</v>
      </c>
      <c r="T137" s="2">
        <v>21.113</v>
      </c>
      <c r="U137" s="2">
        <v>20.353000000000002</v>
      </c>
      <c r="V137" s="15" t="s">
        <v>815</v>
      </c>
      <c r="W137" s="18">
        <f>T137-U137</f>
        <v>0.75999999999999801</v>
      </c>
      <c r="X137" s="30">
        <v>486.5</v>
      </c>
      <c r="Y137" s="30">
        <f>(X137-122)/3</f>
        <v>121.5</v>
      </c>
      <c r="Z137" s="1" t="s">
        <v>203</v>
      </c>
      <c r="AA137" s="15"/>
      <c r="AB137" s="15"/>
      <c r="AC137" s="15"/>
      <c r="AD137" s="15"/>
      <c r="AE137" s="15">
        <v>8206</v>
      </c>
      <c r="AF137" s="15"/>
      <c r="AG137" s="29"/>
      <c r="AH137" s="1" t="s">
        <v>86</v>
      </c>
      <c r="AJ137" s="7" t="s">
        <v>1050</v>
      </c>
      <c r="AL137" s="1" t="s">
        <v>35</v>
      </c>
      <c r="AM137" s="15" t="s">
        <v>481</v>
      </c>
      <c r="AN137" t="b">
        <f t="shared" si="1"/>
        <v>1</v>
      </c>
    </row>
    <row r="138" spans="1:40" ht="26.25">
      <c r="A138" s="1">
        <v>83</v>
      </c>
      <c r="B138" s="1" t="s">
        <v>79</v>
      </c>
      <c r="C138" s="2">
        <v>21.033999999999999</v>
      </c>
      <c r="D138" s="2">
        <v>20.576000000000001</v>
      </c>
      <c r="E138" s="8" t="s">
        <v>203</v>
      </c>
      <c r="F138" s="8" t="s">
        <v>203</v>
      </c>
      <c r="G138" s="1" t="s">
        <v>203</v>
      </c>
      <c r="H138" s="1"/>
      <c r="I138" s="1" t="s">
        <v>345</v>
      </c>
      <c r="J138" s="1">
        <v>11</v>
      </c>
      <c r="K138" s="1" t="str">
        <f>CONCATENATE(I138,J138)</f>
        <v>D11</v>
      </c>
      <c r="L138" s="1" t="s">
        <v>358</v>
      </c>
      <c r="M138" s="1">
        <v>84</v>
      </c>
      <c r="N138">
        <v>170</v>
      </c>
      <c r="O138" s="7" t="s">
        <v>369</v>
      </c>
      <c r="Q138" s="1" t="s">
        <v>79</v>
      </c>
      <c r="R138" s="15" t="s">
        <v>482</v>
      </c>
      <c r="T138" s="2">
        <v>21.033999999999999</v>
      </c>
      <c r="U138" s="2">
        <v>20.576000000000001</v>
      </c>
      <c r="V138" s="15" t="s">
        <v>816</v>
      </c>
      <c r="W138" s="18">
        <f>T138-U138</f>
        <v>0.45799999999999841</v>
      </c>
      <c r="X138" s="30">
        <v>486.72</v>
      </c>
      <c r="Y138" s="30">
        <f>(X138-122)/3</f>
        <v>121.57333333333334</v>
      </c>
      <c r="Z138" s="1" t="s">
        <v>203</v>
      </c>
      <c r="AA138" s="15"/>
      <c r="AB138" s="15"/>
      <c r="AC138" s="15"/>
      <c r="AD138" s="15"/>
      <c r="AE138" s="15">
        <v>9539</v>
      </c>
      <c r="AF138" s="15"/>
      <c r="AG138" s="29"/>
      <c r="AH138" s="1" t="s">
        <v>86</v>
      </c>
      <c r="AJ138" s="7" t="s">
        <v>1050</v>
      </c>
      <c r="AL138" s="1" t="s">
        <v>79</v>
      </c>
      <c r="AM138" s="15" t="s">
        <v>482</v>
      </c>
      <c r="AN138" t="b">
        <f t="shared" si="1"/>
        <v>1</v>
      </c>
    </row>
    <row r="139" spans="1:40" ht="26.25">
      <c r="A139" s="1">
        <v>131</v>
      </c>
      <c r="B139" s="1" t="s">
        <v>122</v>
      </c>
      <c r="C139" s="2">
        <v>22.431999999999999</v>
      </c>
      <c r="D139" s="2">
        <v>21.765000000000001</v>
      </c>
      <c r="E139" s="8" t="s">
        <v>203</v>
      </c>
      <c r="F139" s="8" t="s">
        <v>203</v>
      </c>
      <c r="G139" s="1" t="s">
        <v>203</v>
      </c>
      <c r="H139" s="1"/>
      <c r="I139" s="1" t="s">
        <v>347</v>
      </c>
      <c r="J139" s="1">
        <v>11</v>
      </c>
      <c r="K139" s="1" t="str">
        <f>CONCATENATE(I139,J139)</f>
        <v>F11</v>
      </c>
      <c r="L139" s="1" t="s">
        <v>358</v>
      </c>
      <c r="M139" s="1">
        <v>86</v>
      </c>
      <c r="N139">
        <v>171</v>
      </c>
      <c r="O139" s="7" t="s">
        <v>369</v>
      </c>
      <c r="Q139" s="1" t="s">
        <v>122</v>
      </c>
      <c r="R139" s="15" t="s">
        <v>483</v>
      </c>
      <c r="T139" s="2">
        <v>22.431999999999999</v>
      </c>
      <c r="U139" s="2">
        <v>21.765000000000001</v>
      </c>
      <c r="V139" s="15" t="s">
        <v>817</v>
      </c>
      <c r="W139" s="18">
        <f>T139-U139</f>
        <v>0.66699999999999804</v>
      </c>
      <c r="X139" s="30">
        <v>483.87</v>
      </c>
      <c r="Y139" s="30">
        <f>(X139-122)/3</f>
        <v>120.62333333333333</v>
      </c>
      <c r="Z139" s="1" t="s">
        <v>203</v>
      </c>
      <c r="AA139" s="15"/>
      <c r="AB139" s="15"/>
      <c r="AC139" s="15"/>
      <c r="AD139" s="15"/>
      <c r="AE139" s="15">
        <v>9009</v>
      </c>
      <c r="AF139" s="15"/>
      <c r="AG139" s="29"/>
      <c r="AH139" s="1" t="s">
        <v>86</v>
      </c>
      <c r="AJ139" s="7" t="s">
        <v>1050</v>
      </c>
      <c r="AL139" s="1" t="s">
        <v>122</v>
      </c>
      <c r="AM139" s="15" t="s">
        <v>483</v>
      </c>
      <c r="AN139" t="b">
        <f t="shared" si="1"/>
        <v>1</v>
      </c>
    </row>
    <row r="140" spans="1:40" ht="26.25">
      <c r="A140" s="1">
        <v>179</v>
      </c>
      <c r="B140" s="1" t="s">
        <v>165</v>
      </c>
      <c r="C140" s="2">
        <v>33.479999999999997</v>
      </c>
      <c r="D140" s="2">
        <v>21.5</v>
      </c>
      <c r="E140" s="8" t="s">
        <v>366</v>
      </c>
      <c r="F140" s="8" t="s">
        <v>203</v>
      </c>
      <c r="G140" s="1" t="s">
        <v>129</v>
      </c>
      <c r="H140" s="1"/>
      <c r="I140" s="1" t="s">
        <v>349</v>
      </c>
      <c r="J140" s="1">
        <v>11</v>
      </c>
      <c r="K140" s="1" t="str">
        <f>CONCATENATE(I140,J140)</f>
        <v>H11</v>
      </c>
      <c r="L140" s="1" t="s">
        <v>358</v>
      </c>
      <c r="M140" s="1">
        <v>88</v>
      </c>
      <c r="N140">
        <v>172</v>
      </c>
      <c r="O140" s="7" t="s">
        <v>369</v>
      </c>
      <c r="Q140" s="1" t="s">
        <v>165</v>
      </c>
      <c r="R140" s="15" t="s">
        <v>600</v>
      </c>
      <c r="T140" s="2">
        <v>33.479999999999997</v>
      </c>
      <c r="U140" s="2">
        <v>21.5</v>
      </c>
      <c r="V140" s="15" t="s">
        <v>935</v>
      </c>
      <c r="W140" s="18">
        <f>T140-U140</f>
        <v>11.979999999999997</v>
      </c>
      <c r="X140" s="15"/>
      <c r="Y140" s="15"/>
      <c r="Z140" s="1" t="s">
        <v>129</v>
      </c>
      <c r="AA140" s="15"/>
      <c r="AB140" s="15"/>
      <c r="AC140" s="15"/>
      <c r="AD140" s="15"/>
      <c r="AE140" s="15"/>
      <c r="AF140" s="15"/>
      <c r="AG140" s="29"/>
      <c r="AH140" s="1" t="s">
        <v>129</v>
      </c>
      <c r="AJ140" s="7" t="s">
        <v>1050</v>
      </c>
      <c r="AL140" s="1" t="s">
        <v>165</v>
      </c>
      <c r="AM140" s="15" t="s">
        <v>600</v>
      </c>
      <c r="AN140" t="b">
        <f t="shared" si="1"/>
        <v>1</v>
      </c>
    </row>
    <row r="141" spans="1:40" ht="26.25">
      <c r="A141" s="1">
        <v>227</v>
      </c>
      <c r="B141" s="1" t="s">
        <v>208</v>
      </c>
      <c r="C141" s="2">
        <v>32.783000000000001</v>
      </c>
      <c r="D141" s="2">
        <v>22.695</v>
      </c>
      <c r="E141" s="8" t="s">
        <v>366</v>
      </c>
      <c r="F141" s="8" t="s">
        <v>203</v>
      </c>
      <c r="G141" s="1" t="s">
        <v>129</v>
      </c>
      <c r="H141" s="1"/>
      <c r="I141" s="1" t="s">
        <v>351</v>
      </c>
      <c r="J141" s="1">
        <v>11</v>
      </c>
      <c r="K141" s="1" t="str">
        <f>CONCATENATE(I141,J141)</f>
        <v>J11</v>
      </c>
      <c r="L141" s="1" t="s">
        <v>359</v>
      </c>
      <c r="M141" s="1">
        <v>178</v>
      </c>
      <c r="N141">
        <v>173</v>
      </c>
      <c r="O141" s="7" t="s">
        <v>369</v>
      </c>
      <c r="Q141" s="1" t="s">
        <v>208</v>
      </c>
      <c r="R141" s="15" t="s">
        <v>601</v>
      </c>
      <c r="T141" s="2">
        <v>32.783000000000001</v>
      </c>
      <c r="U141" s="2">
        <v>22.695</v>
      </c>
      <c r="V141" s="15" t="s">
        <v>936</v>
      </c>
      <c r="W141" s="18">
        <f>T141-U141</f>
        <v>10.088000000000001</v>
      </c>
      <c r="X141" s="15"/>
      <c r="Y141" s="15"/>
      <c r="Z141" s="1" t="s">
        <v>129</v>
      </c>
      <c r="AA141" s="15"/>
      <c r="AB141" s="15"/>
      <c r="AC141" s="15"/>
      <c r="AD141" s="15"/>
      <c r="AE141" s="15"/>
      <c r="AF141" s="15"/>
      <c r="AG141" s="29"/>
      <c r="AH141" s="1" t="s">
        <v>129</v>
      </c>
      <c r="AJ141" s="7" t="s">
        <v>1050</v>
      </c>
      <c r="AL141" s="1" t="s">
        <v>208</v>
      </c>
      <c r="AM141" s="15" t="s">
        <v>601</v>
      </c>
      <c r="AN141" t="b">
        <f t="shared" si="1"/>
        <v>1</v>
      </c>
    </row>
    <row r="142" spans="1:40" ht="26.25">
      <c r="A142" s="1">
        <v>275</v>
      </c>
      <c r="B142" s="1" t="s">
        <v>248</v>
      </c>
      <c r="C142" s="2">
        <v>21.686</v>
      </c>
      <c r="D142" s="2">
        <v>21.42</v>
      </c>
      <c r="E142" s="8" t="s">
        <v>203</v>
      </c>
      <c r="F142" s="8" t="s">
        <v>203</v>
      </c>
      <c r="G142" s="1" t="s">
        <v>203</v>
      </c>
      <c r="H142" s="1"/>
      <c r="I142" s="1" t="s">
        <v>357</v>
      </c>
      <c r="J142" s="1">
        <v>11</v>
      </c>
      <c r="K142" s="1" t="str">
        <f>CONCATENATE(I142,J142)</f>
        <v>L11</v>
      </c>
      <c r="L142" s="1" t="s">
        <v>359</v>
      </c>
      <c r="M142" s="1">
        <v>180</v>
      </c>
      <c r="N142">
        <v>174</v>
      </c>
      <c r="O142" s="7" t="s">
        <v>369</v>
      </c>
      <c r="Q142" s="1" t="s">
        <v>248</v>
      </c>
      <c r="R142" s="15" t="s">
        <v>484</v>
      </c>
      <c r="T142" s="2">
        <v>21.686</v>
      </c>
      <c r="U142" s="2">
        <v>21.42</v>
      </c>
      <c r="V142" s="15" t="s">
        <v>818</v>
      </c>
      <c r="W142" s="18">
        <f>T142-U142</f>
        <v>0.26599999999999824</v>
      </c>
      <c r="X142" s="30">
        <v>480.96</v>
      </c>
      <c r="Y142" s="30">
        <f>(X142-122)/3</f>
        <v>119.65333333333332</v>
      </c>
      <c r="Z142" s="1" t="s">
        <v>203</v>
      </c>
      <c r="AA142" s="15"/>
      <c r="AB142" s="15"/>
      <c r="AC142" s="15"/>
      <c r="AD142" s="15"/>
      <c r="AE142" s="15">
        <v>9442</v>
      </c>
      <c r="AF142" s="15"/>
      <c r="AG142" s="29"/>
      <c r="AH142" s="1" t="s">
        <v>86</v>
      </c>
      <c r="AJ142" s="7" t="s">
        <v>1050</v>
      </c>
      <c r="AL142" s="1" t="s">
        <v>248</v>
      </c>
      <c r="AM142" s="15" t="s">
        <v>484</v>
      </c>
      <c r="AN142" t="b">
        <f t="shared" si="1"/>
        <v>1</v>
      </c>
    </row>
    <row r="143" spans="1:40" ht="26.25">
      <c r="A143" s="1">
        <v>323</v>
      </c>
      <c r="B143" s="1" t="s">
        <v>287</v>
      </c>
      <c r="C143" s="2">
        <v>33.607999999999997</v>
      </c>
      <c r="D143" s="2">
        <v>21.957000000000001</v>
      </c>
      <c r="E143" s="8" t="s">
        <v>366</v>
      </c>
      <c r="F143" s="8" t="s">
        <v>203</v>
      </c>
      <c r="G143" s="1" t="s">
        <v>129</v>
      </c>
      <c r="H143" s="1"/>
      <c r="I143" s="1" t="s">
        <v>4</v>
      </c>
      <c r="J143" s="1">
        <v>11</v>
      </c>
      <c r="K143" s="1" t="str">
        <f>CONCATENATE(I143,J143)</f>
        <v>N11</v>
      </c>
      <c r="L143" s="1" t="s">
        <v>359</v>
      </c>
      <c r="M143" s="1">
        <v>182</v>
      </c>
      <c r="N143">
        <v>175</v>
      </c>
      <c r="O143" s="7" t="s">
        <v>369</v>
      </c>
      <c r="Q143" s="1" t="s">
        <v>287</v>
      </c>
      <c r="R143" s="15" t="s">
        <v>602</v>
      </c>
      <c r="T143" s="2">
        <v>33.607999999999997</v>
      </c>
      <c r="U143" s="2">
        <v>21.957000000000001</v>
      </c>
      <c r="V143" s="15" t="s">
        <v>937</v>
      </c>
      <c r="W143" s="18">
        <f>T143-U143</f>
        <v>11.650999999999996</v>
      </c>
      <c r="X143" s="15"/>
      <c r="Y143" s="15"/>
      <c r="Z143" s="1" t="s">
        <v>129</v>
      </c>
      <c r="AA143" s="15"/>
      <c r="AB143" s="15"/>
      <c r="AC143" s="15"/>
      <c r="AD143" s="15"/>
      <c r="AE143" s="15"/>
      <c r="AF143" s="15"/>
      <c r="AG143" s="29"/>
      <c r="AH143" s="1" t="s">
        <v>86</v>
      </c>
      <c r="AJ143" s="7" t="s">
        <v>1050</v>
      </c>
      <c r="AL143" s="1" t="s">
        <v>287</v>
      </c>
      <c r="AM143" s="15" t="s">
        <v>602</v>
      </c>
      <c r="AN143" t="b">
        <f t="shared" si="1"/>
        <v>1</v>
      </c>
    </row>
    <row r="144" spans="1:40" ht="26.25">
      <c r="A144" s="1">
        <v>371</v>
      </c>
      <c r="B144" s="1" t="s">
        <v>326</v>
      </c>
      <c r="C144" s="2">
        <v>24.475999999999999</v>
      </c>
      <c r="D144" s="2">
        <v>23.937000000000001</v>
      </c>
      <c r="E144" s="8" t="s">
        <v>203</v>
      </c>
      <c r="F144" s="8" t="s">
        <v>203</v>
      </c>
      <c r="G144" s="1" t="s">
        <v>203</v>
      </c>
      <c r="H144" s="1"/>
      <c r="I144" s="1" t="s">
        <v>355</v>
      </c>
      <c r="J144" s="1">
        <v>11</v>
      </c>
      <c r="K144" s="1" t="str">
        <f>CONCATENATE(I144,J144)</f>
        <v>P11</v>
      </c>
      <c r="L144" s="1" t="s">
        <v>359</v>
      </c>
      <c r="M144" s="1">
        <v>184</v>
      </c>
      <c r="N144">
        <v>176</v>
      </c>
      <c r="O144" s="7" t="s">
        <v>369</v>
      </c>
      <c r="Q144" s="1" t="s">
        <v>326</v>
      </c>
      <c r="R144" s="15" t="s">
        <v>485</v>
      </c>
      <c r="T144" s="2">
        <v>24.475999999999999</v>
      </c>
      <c r="U144" s="2">
        <v>23.937000000000001</v>
      </c>
      <c r="V144" s="15" t="s">
        <v>819</v>
      </c>
      <c r="W144" s="18">
        <f>T144-U144</f>
        <v>0.53899999999999793</v>
      </c>
      <c r="X144" s="30">
        <v>486.47</v>
      </c>
      <c r="Y144" s="30">
        <f>(X144-122)/3</f>
        <v>121.49000000000001</v>
      </c>
      <c r="Z144" s="1" t="s">
        <v>203</v>
      </c>
      <c r="AA144" s="15"/>
      <c r="AB144" s="15"/>
      <c r="AC144" s="15"/>
      <c r="AD144" s="15"/>
      <c r="AE144" s="15">
        <v>3493</v>
      </c>
      <c r="AF144" s="15"/>
      <c r="AG144" s="29"/>
      <c r="AH144" s="1" t="s">
        <v>86</v>
      </c>
      <c r="AJ144" s="7" t="s">
        <v>1050</v>
      </c>
      <c r="AL144" s="1" t="s">
        <v>326</v>
      </c>
      <c r="AM144" s="15" t="s">
        <v>485</v>
      </c>
      <c r="AN144" t="b">
        <f t="shared" si="1"/>
        <v>1</v>
      </c>
    </row>
    <row r="145" spans="1:40" ht="26.25">
      <c r="A145" s="1">
        <v>12</v>
      </c>
      <c r="B145" s="1" t="s">
        <v>14</v>
      </c>
      <c r="C145" s="2">
        <v>22.114999999999998</v>
      </c>
      <c r="D145" s="2">
        <v>21.196000000000002</v>
      </c>
      <c r="E145" s="8" t="s">
        <v>203</v>
      </c>
      <c r="F145" s="8" t="s">
        <v>203</v>
      </c>
      <c r="G145" s="1" t="s">
        <v>203</v>
      </c>
      <c r="H145" s="1"/>
      <c r="I145" s="1" t="s">
        <v>342</v>
      </c>
      <c r="J145" s="1">
        <v>12</v>
      </c>
      <c r="K145" s="1" t="str">
        <f>CONCATENATE(I145,J145)</f>
        <v>A12</v>
      </c>
      <c r="L145" s="1" t="s">
        <v>358</v>
      </c>
      <c r="M145" s="1">
        <v>89</v>
      </c>
      <c r="N145">
        <v>177</v>
      </c>
      <c r="O145" s="7" t="s">
        <v>369</v>
      </c>
      <c r="Q145" s="1" t="s">
        <v>14</v>
      </c>
      <c r="R145" s="15" t="s">
        <v>486</v>
      </c>
      <c r="T145" s="2">
        <v>22.114999999999998</v>
      </c>
      <c r="U145" s="2">
        <v>21.196000000000002</v>
      </c>
      <c r="V145" s="15" t="s">
        <v>820</v>
      </c>
      <c r="W145" s="18">
        <f>T145-U145</f>
        <v>0.91899999999999693</v>
      </c>
      <c r="X145" s="30">
        <v>483.5</v>
      </c>
      <c r="Y145" s="30">
        <f>(X145-122)/3</f>
        <v>120.5</v>
      </c>
      <c r="Z145" s="1" t="s">
        <v>203</v>
      </c>
      <c r="AA145" s="15"/>
      <c r="AB145" s="15"/>
      <c r="AC145" s="15"/>
      <c r="AD145" s="15"/>
      <c r="AE145" s="15">
        <v>6116</v>
      </c>
      <c r="AF145" s="15"/>
      <c r="AG145" s="29"/>
      <c r="AH145" s="1" t="s">
        <v>129</v>
      </c>
      <c r="AJ145" s="7" t="s">
        <v>1050</v>
      </c>
      <c r="AL145" s="1" t="s">
        <v>14</v>
      </c>
      <c r="AM145" s="15" t="s">
        <v>486</v>
      </c>
      <c r="AN145" t="b">
        <f t="shared" si="1"/>
        <v>1</v>
      </c>
    </row>
    <row r="146" spans="1:40" ht="26.25">
      <c r="A146" s="1">
        <v>60</v>
      </c>
      <c r="B146" s="1" t="s">
        <v>58</v>
      </c>
      <c r="C146" s="2">
        <v>24.411000000000001</v>
      </c>
      <c r="D146" s="2">
        <v>24.318000000000001</v>
      </c>
      <c r="E146" s="8" t="s">
        <v>203</v>
      </c>
      <c r="F146" s="8" t="s">
        <v>203</v>
      </c>
      <c r="G146" s="1" t="s">
        <v>203</v>
      </c>
      <c r="H146" s="1"/>
      <c r="I146" s="1" t="s">
        <v>344</v>
      </c>
      <c r="J146" s="1">
        <v>12</v>
      </c>
      <c r="K146" s="1" t="str">
        <f>CONCATENATE(I146,J146)</f>
        <v>C12</v>
      </c>
      <c r="L146" s="1" t="s">
        <v>358</v>
      </c>
      <c r="M146" s="1">
        <v>91</v>
      </c>
      <c r="N146">
        <v>178</v>
      </c>
      <c r="O146" s="7" t="s">
        <v>369</v>
      </c>
      <c r="Q146" s="1" t="s">
        <v>58</v>
      </c>
      <c r="R146" s="15" t="s">
        <v>487</v>
      </c>
      <c r="T146" s="2">
        <v>24.411000000000001</v>
      </c>
      <c r="U146" s="2">
        <v>24.318000000000001</v>
      </c>
      <c r="V146" s="15" t="s">
        <v>821</v>
      </c>
      <c r="W146" s="18">
        <f>T146-U146</f>
        <v>9.2999999999999972E-2</v>
      </c>
      <c r="X146" s="30">
        <v>477.76</v>
      </c>
      <c r="Y146" s="30">
        <f>(X146-122)/3</f>
        <v>118.58666666666666</v>
      </c>
      <c r="Z146" s="1" t="s">
        <v>203</v>
      </c>
      <c r="AA146" s="15"/>
      <c r="AB146" s="15"/>
      <c r="AC146" s="15"/>
      <c r="AD146" s="15"/>
      <c r="AE146" s="15">
        <v>3917</v>
      </c>
      <c r="AF146" s="15"/>
      <c r="AG146" s="29"/>
      <c r="AH146" s="1" t="s">
        <v>86</v>
      </c>
      <c r="AJ146" s="7" t="s">
        <v>1050</v>
      </c>
      <c r="AL146" s="1" t="s">
        <v>58</v>
      </c>
      <c r="AM146" s="15" t="s">
        <v>487</v>
      </c>
      <c r="AN146" t="b">
        <f t="shared" si="1"/>
        <v>1</v>
      </c>
    </row>
    <row r="147" spans="1:40" ht="26.25">
      <c r="A147" s="1">
        <v>108</v>
      </c>
      <c r="B147" s="1" t="s">
        <v>102</v>
      </c>
      <c r="C147" s="2">
        <v>33.36</v>
      </c>
      <c r="D147" s="2">
        <v>23.669</v>
      </c>
      <c r="E147" s="8" t="s">
        <v>366</v>
      </c>
      <c r="F147" s="8" t="s">
        <v>203</v>
      </c>
      <c r="G147" s="1" t="s">
        <v>129</v>
      </c>
      <c r="H147" s="1"/>
      <c r="I147" s="1" t="s">
        <v>346</v>
      </c>
      <c r="J147" s="1">
        <v>12</v>
      </c>
      <c r="K147" s="1" t="str">
        <f>CONCATENATE(I147,J147)</f>
        <v>E12</v>
      </c>
      <c r="L147" s="1" t="s">
        <v>358</v>
      </c>
      <c r="M147" s="1">
        <v>93</v>
      </c>
      <c r="N147">
        <v>179</v>
      </c>
      <c r="O147" s="7" t="s">
        <v>369</v>
      </c>
      <c r="Q147" s="1" t="s">
        <v>102</v>
      </c>
      <c r="R147" s="15" t="s">
        <v>603</v>
      </c>
      <c r="T147" s="2">
        <v>33.36</v>
      </c>
      <c r="U147" s="2">
        <v>23.669</v>
      </c>
      <c r="V147" s="15" t="s">
        <v>938</v>
      </c>
      <c r="W147" s="18">
        <f>T147-U147</f>
        <v>9.6909999999999989</v>
      </c>
      <c r="X147" s="15"/>
      <c r="Y147" s="15"/>
      <c r="Z147" s="1" t="s">
        <v>129</v>
      </c>
      <c r="AA147" s="15"/>
      <c r="AB147" s="15"/>
      <c r="AC147" s="15"/>
      <c r="AD147" s="15"/>
      <c r="AE147" s="15"/>
      <c r="AF147" s="15"/>
      <c r="AG147" s="29"/>
      <c r="AH147" s="1" t="s">
        <v>86</v>
      </c>
      <c r="AJ147" s="7" t="s">
        <v>1050</v>
      </c>
      <c r="AL147" s="1" t="s">
        <v>102</v>
      </c>
      <c r="AM147" s="15" t="s">
        <v>603</v>
      </c>
      <c r="AN147" t="b">
        <f t="shared" si="1"/>
        <v>1</v>
      </c>
    </row>
    <row r="148" spans="1:40" ht="26.25">
      <c r="A148" s="1">
        <v>156</v>
      </c>
      <c r="B148" s="1" t="s">
        <v>145</v>
      </c>
      <c r="C148" s="2">
        <v>35.201000000000001</v>
      </c>
      <c r="D148" s="2">
        <v>23.963999999999999</v>
      </c>
      <c r="E148" s="8" t="s">
        <v>366</v>
      </c>
      <c r="F148" s="8" t="s">
        <v>203</v>
      </c>
      <c r="G148" s="1" t="s">
        <v>129</v>
      </c>
      <c r="H148" s="1"/>
      <c r="I148" s="1" t="s">
        <v>348</v>
      </c>
      <c r="J148" s="1">
        <v>12</v>
      </c>
      <c r="K148" s="1" t="str">
        <f>CONCATENATE(I148,J148)</f>
        <v>G12</v>
      </c>
      <c r="L148" s="1" t="s">
        <v>358</v>
      </c>
      <c r="M148" s="1">
        <v>95</v>
      </c>
      <c r="N148">
        <v>180</v>
      </c>
      <c r="O148" s="7" t="s">
        <v>369</v>
      </c>
      <c r="Q148" s="1" t="s">
        <v>145</v>
      </c>
      <c r="R148" s="15" t="s">
        <v>604</v>
      </c>
      <c r="T148" s="2">
        <v>35.201000000000001</v>
      </c>
      <c r="U148" s="2">
        <v>23.963999999999999</v>
      </c>
      <c r="V148" s="15" t="s">
        <v>939</v>
      </c>
      <c r="W148" s="18">
        <f>T148-U148</f>
        <v>11.237000000000002</v>
      </c>
      <c r="X148" s="15"/>
      <c r="Y148" s="15"/>
      <c r="Z148" s="1" t="s">
        <v>129</v>
      </c>
      <c r="AA148" s="15"/>
      <c r="AB148" s="15"/>
      <c r="AC148" s="15"/>
      <c r="AD148" s="15"/>
      <c r="AE148" s="15"/>
      <c r="AF148" s="15"/>
      <c r="AG148" s="29"/>
      <c r="AH148" s="1" t="s">
        <v>129</v>
      </c>
      <c r="AJ148" s="7" t="s">
        <v>1050</v>
      </c>
      <c r="AL148" s="1" t="s">
        <v>145</v>
      </c>
      <c r="AM148" s="15" t="s">
        <v>604</v>
      </c>
      <c r="AN148" t="b">
        <f t="shared" si="1"/>
        <v>1</v>
      </c>
    </row>
    <row r="149" spans="1:40" ht="26.25">
      <c r="A149" s="1">
        <v>204</v>
      </c>
      <c r="B149" s="1" t="s">
        <v>188</v>
      </c>
      <c r="C149" s="2" t="s">
        <v>129</v>
      </c>
      <c r="D149" s="2">
        <v>23.736999999999998</v>
      </c>
      <c r="E149" s="8" t="s">
        <v>129</v>
      </c>
      <c r="F149" s="8" t="s">
        <v>203</v>
      </c>
      <c r="G149" s="1" t="s">
        <v>129</v>
      </c>
      <c r="H149" s="1"/>
      <c r="I149" s="1" t="s">
        <v>350</v>
      </c>
      <c r="J149" s="1">
        <v>12</v>
      </c>
      <c r="K149" s="1" t="str">
        <f>CONCATENATE(I149,J149)</f>
        <v>I12</v>
      </c>
      <c r="L149" s="1" t="s">
        <v>359</v>
      </c>
      <c r="M149" s="1">
        <v>185</v>
      </c>
      <c r="N149">
        <v>181</v>
      </c>
      <c r="O149" s="7" t="s">
        <v>369</v>
      </c>
      <c r="Q149" s="1" t="s">
        <v>188</v>
      </c>
      <c r="R149" s="15" t="s">
        <v>647</v>
      </c>
      <c r="T149" s="2" t="s">
        <v>129</v>
      </c>
      <c r="U149" s="2">
        <v>23.736999999999998</v>
      </c>
      <c r="V149" s="15" t="s">
        <v>982</v>
      </c>
      <c r="W149" s="18" t="e">
        <f>T149-U149</f>
        <v>#VALUE!</v>
      </c>
      <c r="X149" s="15"/>
      <c r="Y149" s="15"/>
      <c r="Z149" s="1" t="s">
        <v>129</v>
      </c>
      <c r="AA149" s="15"/>
      <c r="AB149" s="15"/>
      <c r="AC149" s="15"/>
      <c r="AD149" s="15"/>
      <c r="AE149" s="15"/>
      <c r="AF149" s="15"/>
      <c r="AG149" s="29"/>
      <c r="AH149" s="1" t="s">
        <v>86</v>
      </c>
      <c r="AJ149" s="7" t="s">
        <v>1050</v>
      </c>
      <c r="AL149" s="1" t="s">
        <v>188</v>
      </c>
      <c r="AM149" s="15" t="s">
        <v>647</v>
      </c>
      <c r="AN149" t="b">
        <f t="shared" si="1"/>
        <v>1</v>
      </c>
    </row>
    <row r="150" spans="1:40" ht="26.25">
      <c r="A150" s="1">
        <v>252</v>
      </c>
      <c r="B150" s="1" t="s">
        <v>229</v>
      </c>
      <c r="C150" s="2">
        <v>24.576000000000001</v>
      </c>
      <c r="D150" s="2">
        <v>24.568000000000001</v>
      </c>
      <c r="E150" s="8" t="s">
        <v>203</v>
      </c>
      <c r="F150" s="8" t="s">
        <v>203</v>
      </c>
      <c r="G150" s="1" t="s">
        <v>203</v>
      </c>
      <c r="H150" s="1"/>
      <c r="I150" s="1" t="s">
        <v>352</v>
      </c>
      <c r="J150" s="1">
        <v>12</v>
      </c>
      <c r="K150" s="1" t="str">
        <f>CONCATENATE(I150,J150)</f>
        <v>K12</v>
      </c>
      <c r="L150" s="1" t="s">
        <v>359</v>
      </c>
      <c r="M150" s="1">
        <v>187</v>
      </c>
      <c r="N150">
        <v>182</v>
      </c>
      <c r="O150" s="7" t="s">
        <v>369</v>
      </c>
      <c r="Q150" s="1" t="s">
        <v>229</v>
      </c>
      <c r="R150" s="15" t="s">
        <v>488</v>
      </c>
      <c r="T150" s="2">
        <v>24.576000000000001</v>
      </c>
      <c r="U150" s="2">
        <v>24.568000000000001</v>
      </c>
      <c r="V150" s="15" t="s">
        <v>822</v>
      </c>
      <c r="W150" s="18">
        <f>T150-U150</f>
        <v>7.9999999999991189E-3</v>
      </c>
      <c r="X150" s="30">
        <v>483.65</v>
      </c>
      <c r="Y150" s="30">
        <f>(X150-122)/3</f>
        <v>120.55</v>
      </c>
      <c r="Z150" s="1" t="s">
        <v>203</v>
      </c>
      <c r="AA150" s="15"/>
      <c r="AB150" s="15"/>
      <c r="AC150" s="15"/>
      <c r="AD150" s="15"/>
      <c r="AE150" s="15">
        <v>4666</v>
      </c>
      <c r="AF150" s="15"/>
      <c r="AG150" s="29"/>
      <c r="AH150" s="1" t="s">
        <v>86</v>
      </c>
      <c r="AJ150" s="7" t="s">
        <v>1050</v>
      </c>
      <c r="AL150" s="1" t="s">
        <v>229</v>
      </c>
      <c r="AM150" s="15" t="s">
        <v>488</v>
      </c>
      <c r="AN150" t="b">
        <f t="shared" si="1"/>
        <v>1</v>
      </c>
    </row>
    <row r="151" spans="1:40" ht="26.25">
      <c r="A151" s="1">
        <v>300</v>
      </c>
      <c r="B151" s="1" t="s">
        <v>269</v>
      </c>
      <c r="C151" s="2" t="s">
        <v>129</v>
      </c>
      <c r="D151" s="2">
        <v>23.257000000000001</v>
      </c>
      <c r="E151" s="8" t="s">
        <v>129</v>
      </c>
      <c r="F151" s="8" t="s">
        <v>203</v>
      </c>
      <c r="G151" s="1" t="s">
        <v>129</v>
      </c>
      <c r="H151" s="1"/>
      <c r="I151" s="1" t="s">
        <v>353</v>
      </c>
      <c r="J151" s="1">
        <v>12</v>
      </c>
      <c r="K151" s="1" t="str">
        <f>CONCATENATE(I151,J151)</f>
        <v>M12</v>
      </c>
      <c r="L151" s="1" t="s">
        <v>359</v>
      </c>
      <c r="M151" s="1">
        <v>189</v>
      </c>
      <c r="N151">
        <v>183</v>
      </c>
      <c r="O151" s="7" t="s">
        <v>369</v>
      </c>
      <c r="Q151" s="1" t="s">
        <v>269</v>
      </c>
      <c r="R151" s="15" t="s">
        <v>648</v>
      </c>
      <c r="T151" s="2" t="s">
        <v>129</v>
      </c>
      <c r="U151" s="2">
        <v>23.257000000000001</v>
      </c>
      <c r="V151" s="15" t="s">
        <v>983</v>
      </c>
      <c r="W151" s="18" t="e">
        <f>T151-U151</f>
        <v>#VALUE!</v>
      </c>
      <c r="X151" s="15"/>
      <c r="Y151" s="15"/>
      <c r="Z151" s="1" t="s">
        <v>129</v>
      </c>
      <c r="AA151" s="15"/>
      <c r="AB151" s="15"/>
      <c r="AC151" s="15"/>
      <c r="AD151" s="15"/>
      <c r="AE151" s="15"/>
      <c r="AF151" s="15"/>
      <c r="AG151" s="29"/>
      <c r="AH151" s="1" t="s">
        <v>86</v>
      </c>
      <c r="AJ151" s="7" t="s">
        <v>1050</v>
      </c>
      <c r="AL151" s="1" t="s">
        <v>269</v>
      </c>
      <c r="AM151" s="15" t="s">
        <v>648</v>
      </c>
      <c r="AN151" t="b">
        <f t="shared" si="1"/>
        <v>1</v>
      </c>
    </row>
    <row r="152" spans="1:40" ht="26.25">
      <c r="A152" s="1">
        <v>348</v>
      </c>
      <c r="B152" s="1" t="s">
        <v>308</v>
      </c>
      <c r="C152" s="2">
        <v>21.338999999999999</v>
      </c>
      <c r="D152" s="2">
        <v>20.713000000000001</v>
      </c>
      <c r="E152" s="8" t="s">
        <v>203</v>
      </c>
      <c r="F152" s="8" t="s">
        <v>203</v>
      </c>
      <c r="G152" s="1" t="s">
        <v>203</v>
      </c>
      <c r="H152" s="1"/>
      <c r="I152" s="1" t="s">
        <v>354</v>
      </c>
      <c r="J152" s="1">
        <v>12</v>
      </c>
      <c r="K152" s="1" t="str">
        <f>CONCATENATE(I152,J152)</f>
        <v>O12</v>
      </c>
      <c r="L152" s="1" t="s">
        <v>359</v>
      </c>
      <c r="M152" s="1">
        <v>191</v>
      </c>
      <c r="N152">
        <v>184</v>
      </c>
      <c r="O152" s="7" t="s">
        <v>369</v>
      </c>
      <c r="Q152" s="1" t="s">
        <v>308</v>
      </c>
      <c r="R152" s="15" t="s">
        <v>489</v>
      </c>
      <c r="T152" s="2">
        <v>21.338999999999999</v>
      </c>
      <c r="U152" s="2">
        <v>20.713000000000001</v>
      </c>
      <c r="V152" s="15" t="s">
        <v>823</v>
      </c>
      <c r="W152" s="18">
        <f>T152-U152</f>
        <v>0.62599999999999767</v>
      </c>
      <c r="X152" s="30">
        <v>483.36</v>
      </c>
      <c r="Y152" s="30">
        <f>(X152-122)/3</f>
        <v>120.45333333333333</v>
      </c>
      <c r="Z152" s="1" t="s">
        <v>203</v>
      </c>
      <c r="AA152" s="15"/>
      <c r="AB152" s="15"/>
      <c r="AC152" s="15"/>
      <c r="AD152" s="15"/>
      <c r="AE152" s="15">
        <v>8940</v>
      </c>
      <c r="AF152" s="15"/>
      <c r="AG152" s="29"/>
      <c r="AH152" s="1" t="s">
        <v>129</v>
      </c>
      <c r="AJ152" s="7" t="s">
        <v>1050</v>
      </c>
      <c r="AL152" s="1" t="s">
        <v>308</v>
      </c>
      <c r="AM152" s="15" t="s">
        <v>489</v>
      </c>
      <c r="AN152" t="b">
        <f t="shared" si="1"/>
        <v>1</v>
      </c>
    </row>
    <row r="153" spans="1:40" ht="26.25">
      <c r="A153" s="1">
        <v>36</v>
      </c>
      <c r="B153" s="1" t="s">
        <v>36</v>
      </c>
      <c r="C153" s="2" t="s">
        <v>129</v>
      </c>
      <c r="D153" s="2">
        <v>20.018000000000001</v>
      </c>
      <c r="E153" s="8" t="s">
        <v>129</v>
      </c>
      <c r="F153" s="8" t="s">
        <v>203</v>
      </c>
      <c r="G153" s="1" t="s">
        <v>129</v>
      </c>
      <c r="H153" s="1"/>
      <c r="I153" s="1" t="s">
        <v>343</v>
      </c>
      <c r="J153" s="1">
        <v>12</v>
      </c>
      <c r="K153" s="1" t="str">
        <f>CONCATENATE(I153,J153)</f>
        <v>B12</v>
      </c>
      <c r="L153" s="1" t="s">
        <v>358</v>
      </c>
      <c r="M153" s="1">
        <v>90</v>
      </c>
      <c r="N153">
        <v>185</v>
      </c>
      <c r="O153" s="7" t="s">
        <v>369</v>
      </c>
      <c r="Q153" s="1" t="s">
        <v>36</v>
      </c>
      <c r="R153" s="15" t="s">
        <v>649</v>
      </c>
      <c r="T153" s="2" t="s">
        <v>129</v>
      </c>
      <c r="U153" s="2">
        <v>20.018000000000001</v>
      </c>
      <c r="V153" s="15" t="s">
        <v>984</v>
      </c>
      <c r="W153" s="18" t="e">
        <f>T153-U153</f>
        <v>#VALUE!</v>
      </c>
      <c r="X153" s="15"/>
      <c r="Y153" s="15"/>
      <c r="Z153" s="1" t="s">
        <v>129</v>
      </c>
      <c r="AA153" s="15"/>
      <c r="AB153" s="15"/>
      <c r="AC153" s="15"/>
      <c r="AD153" s="15"/>
      <c r="AE153" s="15"/>
      <c r="AF153" s="19">
        <v>2</v>
      </c>
      <c r="AG153" s="34"/>
      <c r="AH153" s="1" t="s">
        <v>86</v>
      </c>
      <c r="AJ153" s="7" t="s">
        <v>1050</v>
      </c>
      <c r="AL153" s="1" t="s">
        <v>36</v>
      </c>
      <c r="AM153" s="15" t="s">
        <v>649</v>
      </c>
      <c r="AN153" t="b">
        <f t="shared" si="1"/>
        <v>1</v>
      </c>
    </row>
    <row r="154" spans="1:40" ht="26.25">
      <c r="A154" s="1">
        <v>84</v>
      </c>
      <c r="B154" s="1" t="s">
        <v>80</v>
      </c>
      <c r="C154" s="2">
        <v>20.56</v>
      </c>
      <c r="D154" s="2">
        <v>20.032</v>
      </c>
      <c r="E154" s="8" t="s">
        <v>203</v>
      </c>
      <c r="F154" s="8" t="s">
        <v>203</v>
      </c>
      <c r="G154" s="1" t="s">
        <v>203</v>
      </c>
      <c r="H154" s="1"/>
      <c r="I154" s="1" t="s">
        <v>345</v>
      </c>
      <c r="J154" s="1">
        <v>12</v>
      </c>
      <c r="K154" s="1" t="str">
        <f>CONCATENATE(I154,J154)</f>
        <v>D12</v>
      </c>
      <c r="L154" s="1" t="s">
        <v>358</v>
      </c>
      <c r="M154" s="1">
        <v>92</v>
      </c>
      <c r="N154">
        <v>186</v>
      </c>
      <c r="O154" s="7" t="s">
        <v>369</v>
      </c>
      <c r="Q154" s="1" t="s">
        <v>80</v>
      </c>
      <c r="R154" s="15" t="s">
        <v>490</v>
      </c>
      <c r="T154" s="2">
        <v>20.56</v>
      </c>
      <c r="U154" s="2">
        <v>20.032</v>
      </c>
      <c r="V154" s="15" t="s">
        <v>824</v>
      </c>
      <c r="W154" s="18">
        <f>T154-U154</f>
        <v>0.52799999999999869</v>
      </c>
      <c r="X154" s="30">
        <v>486</v>
      </c>
      <c r="Y154" s="30">
        <f>(X154-122)/3</f>
        <v>121.33333333333333</v>
      </c>
      <c r="Z154" s="1" t="s">
        <v>203</v>
      </c>
      <c r="AA154" s="15"/>
      <c r="AB154" s="15"/>
      <c r="AC154" s="15"/>
      <c r="AD154" s="15"/>
      <c r="AE154" s="15">
        <v>5637</v>
      </c>
      <c r="AF154" s="15"/>
      <c r="AG154" s="29"/>
      <c r="AH154" s="1" t="s">
        <v>86</v>
      </c>
      <c r="AJ154" s="7" t="s">
        <v>1050</v>
      </c>
      <c r="AL154" s="1" t="s">
        <v>80</v>
      </c>
      <c r="AM154" s="15" t="s">
        <v>490</v>
      </c>
      <c r="AN154" t="b">
        <f t="shared" si="1"/>
        <v>1</v>
      </c>
    </row>
    <row r="155" spans="1:40" ht="26.25">
      <c r="A155" s="1">
        <v>132</v>
      </c>
      <c r="B155" s="1" t="s">
        <v>123</v>
      </c>
      <c r="C155" s="2">
        <v>20.835999999999999</v>
      </c>
      <c r="D155" s="2">
        <v>19.922000000000001</v>
      </c>
      <c r="E155" s="8" t="s">
        <v>203</v>
      </c>
      <c r="F155" s="8" t="s">
        <v>366</v>
      </c>
      <c r="G155" s="1" t="s">
        <v>203</v>
      </c>
      <c r="H155" s="1"/>
      <c r="I155" s="1" t="s">
        <v>347</v>
      </c>
      <c r="J155" s="1">
        <v>12</v>
      </c>
      <c r="K155" s="1" t="str">
        <f>CONCATENATE(I155,J155)</f>
        <v>F12</v>
      </c>
      <c r="L155" s="1" t="s">
        <v>358</v>
      </c>
      <c r="M155" s="1">
        <v>94</v>
      </c>
      <c r="N155">
        <v>187</v>
      </c>
      <c r="O155" s="7" t="s">
        <v>369</v>
      </c>
      <c r="Q155" s="1" t="s">
        <v>123</v>
      </c>
      <c r="R155" s="15" t="s">
        <v>583</v>
      </c>
      <c r="T155" s="2">
        <v>20.835999999999999</v>
      </c>
      <c r="U155" s="2">
        <v>19.922000000000001</v>
      </c>
      <c r="V155" s="15" t="s">
        <v>918</v>
      </c>
      <c r="W155" s="18">
        <f>T155-U155</f>
        <v>0.91399999999999793</v>
      </c>
      <c r="X155" s="30">
        <v>483.45</v>
      </c>
      <c r="Y155" s="30">
        <f>(X155-122)/3</f>
        <v>120.48333333333333</v>
      </c>
      <c r="Z155" s="1" t="s">
        <v>203</v>
      </c>
      <c r="AA155" s="15"/>
      <c r="AB155" s="15"/>
      <c r="AC155" s="15"/>
      <c r="AD155" s="15"/>
      <c r="AE155" s="15">
        <v>6077</v>
      </c>
      <c r="AF155" s="15"/>
      <c r="AG155" s="29"/>
      <c r="AH155" s="1" t="s">
        <v>129</v>
      </c>
      <c r="AJ155" s="7" t="s">
        <v>1050</v>
      </c>
      <c r="AL155" s="1" t="s">
        <v>123</v>
      </c>
      <c r="AM155" s="15" t="s">
        <v>583</v>
      </c>
      <c r="AN155" t="b">
        <f t="shared" si="1"/>
        <v>1</v>
      </c>
    </row>
    <row r="156" spans="1:40" ht="26.25">
      <c r="A156" s="1">
        <v>180</v>
      </c>
      <c r="B156" s="1" t="s">
        <v>166</v>
      </c>
      <c r="C156" s="2">
        <v>28.94</v>
      </c>
      <c r="D156" s="2">
        <v>20.553000000000001</v>
      </c>
      <c r="E156" s="8" t="s">
        <v>203</v>
      </c>
      <c r="F156" s="8" t="s">
        <v>203</v>
      </c>
      <c r="G156" s="1" t="s">
        <v>203</v>
      </c>
      <c r="H156" s="1"/>
      <c r="I156" s="1" t="s">
        <v>349</v>
      </c>
      <c r="J156" s="1">
        <v>12</v>
      </c>
      <c r="K156" s="1" t="str">
        <f>CONCATENATE(I156,J156)</f>
        <v>H12</v>
      </c>
      <c r="L156" s="1" t="s">
        <v>358</v>
      </c>
      <c r="M156" s="1">
        <v>96</v>
      </c>
      <c r="N156">
        <v>188</v>
      </c>
      <c r="O156" s="7" t="s">
        <v>369</v>
      </c>
      <c r="Q156" s="1" t="s">
        <v>166</v>
      </c>
      <c r="R156" s="15" t="s">
        <v>491</v>
      </c>
      <c r="T156" s="2">
        <v>28.94</v>
      </c>
      <c r="U156" s="2">
        <v>20.553000000000001</v>
      </c>
      <c r="V156" s="15" t="s">
        <v>825</v>
      </c>
      <c r="W156" s="18">
        <f>T156-U156</f>
        <v>8.3870000000000005</v>
      </c>
      <c r="X156" s="15"/>
      <c r="Y156" s="15"/>
      <c r="Z156" s="1" t="s">
        <v>129</v>
      </c>
      <c r="AA156" s="15"/>
      <c r="AB156" s="15"/>
      <c r="AC156" s="15"/>
      <c r="AD156" s="15"/>
      <c r="AE156" s="15"/>
      <c r="AF156" s="15"/>
      <c r="AG156" s="29"/>
      <c r="AH156" s="1" t="s">
        <v>86</v>
      </c>
      <c r="AJ156" s="7" t="s">
        <v>1050</v>
      </c>
      <c r="AL156" s="1" t="s">
        <v>166</v>
      </c>
      <c r="AM156" s="15" t="s">
        <v>491</v>
      </c>
      <c r="AN156" t="b">
        <f t="shared" si="1"/>
        <v>1</v>
      </c>
    </row>
    <row r="157" spans="1:40" ht="26.25">
      <c r="A157" s="1">
        <v>13</v>
      </c>
      <c r="B157" s="1" t="s">
        <v>15</v>
      </c>
      <c r="C157" s="2" t="s">
        <v>129</v>
      </c>
      <c r="D157" s="2">
        <v>21.852</v>
      </c>
      <c r="E157" s="8" t="s">
        <v>129</v>
      </c>
      <c r="F157" s="8" t="s">
        <v>203</v>
      </c>
      <c r="G157" s="1" t="s">
        <v>129</v>
      </c>
      <c r="H157" s="1"/>
      <c r="I157" s="1" t="s">
        <v>342</v>
      </c>
      <c r="J157" s="1">
        <v>13</v>
      </c>
      <c r="K157" s="1" t="str">
        <f>CONCATENATE(I157,J157)</f>
        <v>A13</v>
      </c>
      <c r="L157" s="1" t="s">
        <v>360</v>
      </c>
      <c r="M157" s="1">
        <v>193</v>
      </c>
      <c r="N157">
        <v>193</v>
      </c>
      <c r="O157" s="7" t="s">
        <v>369</v>
      </c>
      <c r="Q157" s="1" t="s">
        <v>15</v>
      </c>
      <c r="R157" s="15" t="s">
        <v>650</v>
      </c>
      <c r="T157" s="2" t="s">
        <v>129</v>
      </c>
      <c r="U157" s="2">
        <v>21.852</v>
      </c>
      <c r="V157" s="15" t="s">
        <v>985</v>
      </c>
      <c r="W157" s="18" t="e">
        <f>T157-U157</f>
        <v>#VALUE!</v>
      </c>
      <c r="X157" s="15"/>
      <c r="Y157" s="15"/>
      <c r="Z157" s="1" t="s">
        <v>129</v>
      </c>
      <c r="AA157" s="15"/>
      <c r="AB157" s="15"/>
      <c r="AC157" s="15"/>
      <c r="AD157" s="15"/>
      <c r="AE157" s="15"/>
      <c r="AF157" s="15"/>
      <c r="AG157" s="29"/>
      <c r="AH157" s="1" t="s">
        <v>86</v>
      </c>
      <c r="AJ157" s="7" t="s">
        <v>1050</v>
      </c>
      <c r="AL157" s="1" t="s">
        <v>15</v>
      </c>
      <c r="AM157" s="15" t="s">
        <v>650</v>
      </c>
      <c r="AN157" t="b">
        <f t="shared" si="1"/>
        <v>1</v>
      </c>
    </row>
    <row r="158" spans="1:40" ht="26.25">
      <c r="A158" s="1">
        <v>61</v>
      </c>
      <c r="B158" s="1" t="s">
        <v>59</v>
      </c>
      <c r="C158" s="2">
        <v>20.878</v>
      </c>
      <c r="D158" s="2">
        <v>20.64</v>
      </c>
      <c r="E158" s="8" t="s">
        <v>203</v>
      </c>
      <c r="F158" s="8" t="s">
        <v>203</v>
      </c>
      <c r="G158" s="1" t="s">
        <v>203</v>
      </c>
      <c r="H158" s="1"/>
      <c r="I158" s="1" t="s">
        <v>344</v>
      </c>
      <c r="J158" s="1">
        <v>13</v>
      </c>
      <c r="K158" s="1" t="str">
        <f>CONCATENATE(I158,J158)</f>
        <v>C13</v>
      </c>
      <c r="L158" s="1" t="s">
        <v>360</v>
      </c>
      <c r="M158" s="1">
        <v>195</v>
      </c>
      <c r="N158">
        <v>194</v>
      </c>
      <c r="O158" s="7" t="s">
        <v>369</v>
      </c>
      <c r="Q158" s="1" t="s">
        <v>59</v>
      </c>
      <c r="R158" s="15" t="s">
        <v>492</v>
      </c>
      <c r="T158" s="2">
        <v>20.878</v>
      </c>
      <c r="U158" s="2">
        <v>20.64</v>
      </c>
      <c r="V158" s="15" t="s">
        <v>826</v>
      </c>
      <c r="W158" s="18">
        <f>T158-U158</f>
        <v>0.23799999999999955</v>
      </c>
      <c r="X158" s="30">
        <v>605.42999999999995</v>
      </c>
      <c r="Y158" s="30">
        <f>(X158-122)/3</f>
        <v>161.14333333333332</v>
      </c>
      <c r="Z158" s="1" t="s">
        <v>203</v>
      </c>
      <c r="AA158" s="15"/>
      <c r="AB158" s="15"/>
      <c r="AC158" s="15"/>
      <c r="AD158" s="15"/>
      <c r="AE158" s="15">
        <v>4529</v>
      </c>
      <c r="AF158" s="15"/>
      <c r="AG158" s="29"/>
      <c r="AH158" s="1" t="s">
        <v>86</v>
      </c>
      <c r="AJ158" s="7" t="s">
        <v>1050</v>
      </c>
      <c r="AL158" s="1" t="s">
        <v>59</v>
      </c>
      <c r="AM158" s="15" t="s">
        <v>492</v>
      </c>
      <c r="AN158" t="b">
        <f t="shared" si="1"/>
        <v>1</v>
      </c>
    </row>
    <row r="159" spans="1:40" ht="26.25">
      <c r="A159" s="1">
        <v>109</v>
      </c>
      <c r="B159" s="1" t="s">
        <v>103</v>
      </c>
      <c r="C159" s="2">
        <v>30.423999999999999</v>
      </c>
      <c r="D159" s="2">
        <v>21.715</v>
      </c>
      <c r="E159" s="8" t="s">
        <v>203</v>
      </c>
      <c r="F159" s="8" t="s">
        <v>203</v>
      </c>
      <c r="G159" s="1" t="s">
        <v>203</v>
      </c>
      <c r="H159" s="1"/>
      <c r="I159" s="1" t="s">
        <v>346</v>
      </c>
      <c r="J159" s="1">
        <v>13</v>
      </c>
      <c r="K159" s="1" t="str">
        <f>CONCATENATE(I159,J159)</f>
        <v>E13</v>
      </c>
      <c r="L159" s="1" t="s">
        <v>360</v>
      </c>
      <c r="M159" s="1">
        <v>197</v>
      </c>
      <c r="N159">
        <v>195</v>
      </c>
      <c r="O159" s="7" t="s">
        <v>369</v>
      </c>
      <c r="Q159" s="1" t="s">
        <v>103</v>
      </c>
      <c r="R159" s="15" t="s">
        <v>493</v>
      </c>
      <c r="T159" s="2">
        <v>30.423999999999999</v>
      </c>
      <c r="U159" s="2">
        <v>21.715</v>
      </c>
      <c r="V159" s="15" t="s">
        <v>827</v>
      </c>
      <c r="W159" s="18">
        <f>T159-U159</f>
        <v>8.7089999999999996</v>
      </c>
      <c r="X159" s="15"/>
      <c r="Y159" s="15"/>
      <c r="Z159" s="1" t="s">
        <v>129</v>
      </c>
      <c r="AA159" s="15"/>
      <c r="AB159" s="15"/>
      <c r="AC159" s="15"/>
      <c r="AD159" s="15"/>
      <c r="AE159" s="15"/>
      <c r="AF159" s="15"/>
      <c r="AG159" s="29"/>
      <c r="AH159" s="1" t="s">
        <v>86</v>
      </c>
      <c r="AJ159" s="7" t="s">
        <v>1050</v>
      </c>
      <c r="AL159" s="1" t="s">
        <v>103</v>
      </c>
      <c r="AM159" s="15" t="s">
        <v>493</v>
      </c>
      <c r="AN159" t="b">
        <f t="shared" si="1"/>
        <v>1</v>
      </c>
    </row>
    <row r="160" spans="1:40" ht="26.25">
      <c r="A160" s="1">
        <v>157</v>
      </c>
      <c r="B160" s="1" t="s">
        <v>146</v>
      </c>
      <c r="C160" s="2">
        <v>21.738</v>
      </c>
      <c r="D160" s="2">
        <v>21.437000000000001</v>
      </c>
      <c r="E160" s="8" t="s">
        <v>203</v>
      </c>
      <c r="F160" s="8" t="s">
        <v>203</v>
      </c>
      <c r="G160" s="1" t="s">
        <v>203</v>
      </c>
      <c r="H160" s="1"/>
      <c r="I160" s="1" t="s">
        <v>348</v>
      </c>
      <c r="J160" s="1">
        <v>13</v>
      </c>
      <c r="K160" s="1" t="str">
        <f>CONCATENATE(I160,J160)</f>
        <v>G13</v>
      </c>
      <c r="L160" s="1" t="s">
        <v>360</v>
      </c>
      <c r="M160" s="1">
        <v>199</v>
      </c>
      <c r="N160">
        <v>196</v>
      </c>
      <c r="O160" s="7" t="s">
        <v>369</v>
      </c>
      <c r="Q160" s="1" t="s">
        <v>146</v>
      </c>
      <c r="R160" s="15" t="s">
        <v>494</v>
      </c>
      <c r="T160" s="2">
        <v>21.738</v>
      </c>
      <c r="U160" s="2">
        <v>21.437000000000001</v>
      </c>
      <c r="V160" s="15" t="s">
        <v>828</v>
      </c>
      <c r="W160" s="18">
        <f>T160-U160</f>
        <v>0.30099999999999838</v>
      </c>
      <c r="X160" s="30">
        <v>649.61</v>
      </c>
      <c r="Y160" s="30">
        <f>(X160-122)/3</f>
        <v>175.87</v>
      </c>
      <c r="Z160" s="1" t="s">
        <v>203</v>
      </c>
      <c r="AA160" s="15"/>
      <c r="AB160" s="15"/>
      <c r="AC160" s="15"/>
      <c r="AD160" s="15"/>
      <c r="AE160" s="15">
        <v>4497</v>
      </c>
      <c r="AF160" s="15"/>
      <c r="AG160" s="29"/>
      <c r="AH160" s="1" t="s">
        <v>86</v>
      </c>
      <c r="AJ160" s="7" t="s">
        <v>1050</v>
      </c>
      <c r="AL160" s="1" t="s">
        <v>146</v>
      </c>
      <c r="AM160" s="15" t="s">
        <v>494</v>
      </c>
      <c r="AN160" t="b">
        <f t="shared" si="1"/>
        <v>1</v>
      </c>
    </row>
    <row r="161" spans="1:40" ht="26.25">
      <c r="A161" s="1">
        <v>205</v>
      </c>
      <c r="B161" s="1" t="s">
        <v>189</v>
      </c>
      <c r="C161" s="2">
        <v>23.251999999999999</v>
      </c>
      <c r="D161" s="2">
        <v>22.968</v>
      </c>
      <c r="E161" s="8" t="s">
        <v>203</v>
      </c>
      <c r="F161" s="8" t="s">
        <v>203</v>
      </c>
      <c r="G161" s="1" t="s">
        <v>203</v>
      </c>
      <c r="H161" s="1"/>
      <c r="I161" s="1" t="s">
        <v>350</v>
      </c>
      <c r="J161" s="1">
        <v>13</v>
      </c>
      <c r="K161" s="1" t="str">
        <f>CONCATENATE(I161,J161)</f>
        <v>I13</v>
      </c>
      <c r="L161" s="1" t="s">
        <v>361</v>
      </c>
      <c r="M161" s="1">
        <v>289</v>
      </c>
      <c r="N161">
        <v>197</v>
      </c>
      <c r="O161" s="7" t="s">
        <v>369</v>
      </c>
      <c r="Q161" s="1" t="s">
        <v>189</v>
      </c>
      <c r="R161" s="15" t="s">
        <v>495</v>
      </c>
      <c r="T161" s="2">
        <v>23.251999999999999</v>
      </c>
      <c r="U161" s="2">
        <v>22.968</v>
      </c>
      <c r="V161" s="15" t="s">
        <v>829</v>
      </c>
      <c r="W161" s="18">
        <f>T161-U161</f>
        <v>0.28399999999999892</v>
      </c>
      <c r="X161" s="30">
        <v>602.45000000000005</v>
      </c>
      <c r="Y161" s="30">
        <f>(X161-122)/3</f>
        <v>160.15</v>
      </c>
      <c r="Z161" s="1" t="s">
        <v>203</v>
      </c>
      <c r="AA161" s="15"/>
      <c r="AB161" s="15"/>
      <c r="AC161" s="15"/>
      <c r="AD161" s="15"/>
      <c r="AE161" s="15">
        <v>4076</v>
      </c>
      <c r="AF161" s="15"/>
      <c r="AG161" s="29"/>
      <c r="AH161" s="1" t="s">
        <v>129</v>
      </c>
      <c r="AJ161" s="7" t="s">
        <v>1050</v>
      </c>
      <c r="AL161" s="1" t="s">
        <v>189</v>
      </c>
      <c r="AM161" s="15" t="s">
        <v>495</v>
      </c>
      <c r="AN161" t="b">
        <f t="shared" si="1"/>
        <v>1</v>
      </c>
    </row>
    <row r="162" spans="1:40" ht="26.25">
      <c r="A162" s="1">
        <v>253</v>
      </c>
      <c r="B162" s="1" t="s">
        <v>230</v>
      </c>
      <c r="C162" s="2">
        <v>33.305</v>
      </c>
      <c r="D162" s="2">
        <v>21.858000000000001</v>
      </c>
      <c r="E162" s="8" t="s">
        <v>366</v>
      </c>
      <c r="F162" s="8" t="s">
        <v>203</v>
      </c>
      <c r="G162" s="1" t="s">
        <v>129</v>
      </c>
      <c r="H162" s="1"/>
      <c r="I162" s="1" t="s">
        <v>352</v>
      </c>
      <c r="J162" s="1">
        <v>13</v>
      </c>
      <c r="K162" s="1" t="str">
        <f>CONCATENATE(I162,J162)</f>
        <v>K13</v>
      </c>
      <c r="L162" s="1" t="s">
        <v>361</v>
      </c>
      <c r="M162" s="1">
        <v>291</v>
      </c>
      <c r="N162">
        <v>198</v>
      </c>
      <c r="O162" s="7" t="s">
        <v>369</v>
      </c>
      <c r="Q162" s="1" t="s">
        <v>230</v>
      </c>
      <c r="R162" s="15" t="s">
        <v>605</v>
      </c>
      <c r="T162" s="2">
        <v>33.305</v>
      </c>
      <c r="U162" s="2">
        <v>21.858000000000001</v>
      </c>
      <c r="V162" s="15" t="s">
        <v>940</v>
      </c>
      <c r="W162" s="18">
        <f>T162-U162</f>
        <v>11.446999999999999</v>
      </c>
      <c r="X162" s="15"/>
      <c r="Y162" s="15"/>
      <c r="Z162" s="1" t="s">
        <v>129</v>
      </c>
      <c r="AA162" s="15"/>
      <c r="AB162" s="15"/>
      <c r="AC162" s="15"/>
      <c r="AD162" s="15"/>
      <c r="AE162" s="15"/>
      <c r="AF162" s="15"/>
      <c r="AG162" s="29"/>
      <c r="AH162" s="1" t="s">
        <v>129</v>
      </c>
      <c r="AJ162" s="7" t="s">
        <v>1050</v>
      </c>
      <c r="AL162" s="1" t="s">
        <v>230</v>
      </c>
      <c r="AM162" s="15" t="s">
        <v>605</v>
      </c>
      <c r="AN162" t="b">
        <f t="shared" si="1"/>
        <v>1</v>
      </c>
    </row>
    <row r="163" spans="1:40" ht="26.25">
      <c r="A163" s="1">
        <v>301</v>
      </c>
      <c r="B163" s="1" t="s">
        <v>270</v>
      </c>
      <c r="C163" s="2">
        <v>32</v>
      </c>
      <c r="D163" s="2">
        <v>22.718</v>
      </c>
      <c r="E163" s="8" t="s">
        <v>203</v>
      </c>
      <c r="F163" s="8" t="s">
        <v>203</v>
      </c>
      <c r="G163" s="1" t="s">
        <v>203</v>
      </c>
      <c r="H163" s="1"/>
      <c r="I163" s="1" t="s">
        <v>353</v>
      </c>
      <c r="J163" s="1">
        <v>13</v>
      </c>
      <c r="K163" s="1" t="str">
        <f>CONCATENATE(I163,J163)</f>
        <v>M13</v>
      </c>
      <c r="L163" s="1" t="s">
        <v>361</v>
      </c>
      <c r="M163" s="1">
        <v>293</v>
      </c>
      <c r="N163">
        <v>199</v>
      </c>
      <c r="O163" s="7" t="s">
        <v>369</v>
      </c>
      <c r="Q163" s="1" t="s">
        <v>270</v>
      </c>
      <c r="R163" s="15" t="s">
        <v>496</v>
      </c>
      <c r="T163" s="2">
        <v>32</v>
      </c>
      <c r="U163" s="2">
        <v>22.718</v>
      </c>
      <c r="V163" s="15" t="s">
        <v>830</v>
      </c>
      <c r="W163" s="18">
        <f>T163-U163</f>
        <v>9.282</v>
      </c>
      <c r="X163" s="15"/>
      <c r="Y163" s="15"/>
      <c r="Z163" s="1" t="s">
        <v>129</v>
      </c>
      <c r="AA163" s="15"/>
      <c r="AB163" s="15"/>
      <c r="AC163" s="15"/>
      <c r="AD163" s="15"/>
      <c r="AE163" s="15"/>
      <c r="AF163" s="15"/>
      <c r="AG163" s="29"/>
      <c r="AH163" s="1" t="s">
        <v>129</v>
      </c>
      <c r="AJ163" s="7" t="s">
        <v>1050</v>
      </c>
      <c r="AL163" s="1" t="s">
        <v>270</v>
      </c>
      <c r="AM163" s="15" t="s">
        <v>496</v>
      </c>
      <c r="AN163" t="b">
        <f t="shared" si="1"/>
        <v>1</v>
      </c>
    </row>
    <row r="164" spans="1:40" ht="26.25">
      <c r="A164" s="1">
        <v>349</v>
      </c>
      <c r="B164" s="1" t="s">
        <v>309</v>
      </c>
      <c r="C164" s="2">
        <v>23.108000000000001</v>
      </c>
      <c r="D164" s="2">
        <v>22.945</v>
      </c>
      <c r="E164" s="8" t="s">
        <v>203</v>
      </c>
      <c r="F164" s="8" t="s">
        <v>203</v>
      </c>
      <c r="G164" s="1" t="s">
        <v>203</v>
      </c>
      <c r="H164" s="1"/>
      <c r="I164" s="1" t="s">
        <v>354</v>
      </c>
      <c r="J164" s="1">
        <v>13</v>
      </c>
      <c r="K164" s="1" t="str">
        <f>CONCATENATE(I164,J164)</f>
        <v>O13</v>
      </c>
      <c r="L164" s="1" t="s">
        <v>361</v>
      </c>
      <c r="M164" s="1">
        <v>295</v>
      </c>
      <c r="N164">
        <v>200</v>
      </c>
      <c r="O164" s="7" t="s">
        <v>369</v>
      </c>
      <c r="Q164" s="1" t="s">
        <v>309</v>
      </c>
      <c r="R164" s="15" t="s">
        <v>497</v>
      </c>
      <c r="T164" s="2">
        <v>23.108000000000001</v>
      </c>
      <c r="U164" s="2">
        <v>22.945</v>
      </c>
      <c r="V164" s="15" t="s">
        <v>831</v>
      </c>
      <c r="W164" s="18">
        <f>T164-U164</f>
        <v>0.16300000000000026</v>
      </c>
      <c r="X164" s="30">
        <v>593.48</v>
      </c>
      <c r="Y164" s="30">
        <f>(X164-122)/3</f>
        <v>157.16</v>
      </c>
      <c r="Z164" s="1" t="s">
        <v>203</v>
      </c>
      <c r="AA164" s="15"/>
      <c r="AB164" s="15"/>
      <c r="AC164" s="15"/>
      <c r="AD164" s="15"/>
      <c r="AE164" s="15">
        <v>4015</v>
      </c>
      <c r="AF164" s="15"/>
      <c r="AG164" s="29"/>
      <c r="AH164" s="1" t="s">
        <v>129</v>
      </c>
      <c r="AJ164" s="7" t="s">
        <v>1050</v>
      </c>
      <c r="AL164" s="1" t="s">
        <v>309</v>
      </c>
      <c r="AM164" s="15" t="s">
        <v>497</v>
      </c>
      <c r="AN164" t="b">
        <f t="shared" si="1"/>
        <v>1</v>
      </c>
    </row>
    <row r="165" spans="1:40" ht="26.25">
      <c r="A165" s="1">
        <v>37</v>
      </c>
      <c r="B165" s="1" t="s">
        <v>37</v>
      </c>
      <c r="C165" s="2">
        <v>35.216999999999999</v>
      </c>
      <c r="D165" s="2">
        <v>21.341000000000001</v>
      </c>
      <c r="E165" s="8" t="s">
        <v>366</v>
      </c>
      <c r="F165" s="8" t="s">
        <v>203</v>
      </c>
      <c r="G165" s="1" t="s">
        <v>129</v>
      </c>
      <c r="H165" s="1"/>
      <c r="I165" s="1" t="s">
        <v>343</v>
      </c>
      <c r="J165" s="1">
        <v>13</v>
      </c>
      <c r="K165" s="1" t="str">
        <f>CONCATENATE(I165,J165)</f>
        <v>B13</v>
      </c>
      <c r="L165" s="1" t="s">
        <v>360</v>
      </c>
      <c r="M165" s="1">
        <v>194</v>
      </c>
      <c r="N165">
        <v>201</v>
      </c>
      <c r="O165" s="7" t="s">
        <v>369</v>
      </c>
      <c r="Q165" s="1" t="s">
        <v>37</v>
      </c>
      <c r="R165" s="15" t="s">
        <v>606</v>
      </c>
      <c r="T165" s="2">
        <v>35.216999999999999</v>
      </c>
      <c r="U165" s="2">
        <v>21.341000000000001</v>
      </c>
      <c r="V165" s="15" t="s">
        <v>941</v>
      </c>
      <c r="W165" s="18">
        <f>T165-U165</f>
        <v>13.875999999999998</v>
      </c>
      <c r="X165" s="15"/>
      <c r="Y165" s="15"/>
      <c r="Z165" s="1" t="s">
        <v>129</v>
      </c>
      <c r="AA165" s="15"/>
      <c r="AB165" s="15"/>
      <c r="AC165" s="15"/>
      <c r="AD165" s="15"/>
      <c r="AE165" s="15"/>
      <c r="AF165" s="15"/>
      <c r="AG165" s="29"/>
      <c r="AH165" s="1" t="s">
        <v>86</v>
      </c>
      <c r="AJ165" s="7" t="s">
        <v>1050</v>
      </c>
      <c r="AL165" s="1" t="s">
        <v>37</v>
      </c>
      <c r="AM165" s="15" t="s">
        <v>606</v>
      </c>
      <c r="AN165" t="b">
        <f t="shared" si="1"/>
        <v>1</v>
      </c>
    </row>
    <row r="166" spans="1:40" ht="26.25">
      <c r="A166" s="1">
        <v>85</v>
      </c>
      <c r="B166" s="1" t="s">
        <v>81</v>
      </c>
      <c r="C166" s="2">
        <v>23.29</v>
      </c>
      <c r="D166" s="2">
        <v>23.077999999999999</v>
      </c>
      <c r="E166" s="8" t="s">
        <v>203</v>
      </c>
      <c r="F166" s="8" t="s">
        <v>203</v>
      </c>
      <c r="G166" s="1" t="s">
        <v>203</v>
      </c>
      <c r="H166" s="1"/>
      <c r="I166" s="1" t="s">
        <v>345</v>
      </c>
      <c r="J166" s="1">
        <v>13</v>
      </c>
      <c r="K166" s="1" t="str">
        <f>CONCATENATE(I166,J166)</f>
        <v>D13</v>
      </c>
      <c r="L166" s="1" t="s">
        <v>360</v>
      </c>
      <c r="M166" s="1">
        <v>196</v>
      </c>
      <c r="N166">
        <v>202</v>
      </c>
      <c r="O166" s="7" t="s">
        <v>369</v>
      </c>
      <c r="Q166" s="1" t="s">
        <v>81</v>
      </c>
      <c r="R166" s="15" t="s">
        <v>498</v>
      </c>
      <c r="T166" s="2">
        <v>23.29</v>
      </c>
      <c r="U166" s="2">
        <v>23.077999999999999</v>
      </c>
      <c r="V166" s="15" t="s">
        <v>832</v>
      </c>
      <c r="W166" s="18">
        <f>T166-U166</f>
        <v>0.21199999999999974</v>
      </c>
      <c r="X166" s="30">
        <v>594.01</v>
      </c>
      <c r="Y166" s="30">
        <f>(X166-122)/3</f>
        <v>157.33666666666667</v>
      </c>
      <c r="Z166" s="1" t="s">
        <v>203</v>
      </c>
      <c r="AA166" s="15"/>
      <c r="AB166" s="15"/>
      <c r="AC166" s="15"/>
      <c r="AD166" s="15"/>
      <c r="AE166" s="15">
        <v>4346</v>
      </c>
      <c r="AF166" s="15"/>
      <c r="AG166" s="29"/>
      <c r="AH166" s="1" t="s">
        <v>86</v>
      </c>
      <c r="AJ166" s="7" t="s">
        <v>1050</v>
      </c>
      <c r="AL166" s="1" t="s">
        <v>81</v>
      </c>
      <c r="AM166" s="15" t="s">
        <v>498</v>
      </c>
      <c r="AN166" t="b">
        <f t="shared" si="1"/>
        <v>1</v>
      </c>
    </row>
    <row r="167" spans="1:40" ht="26.25">
      <c r="A167" s="1">
        <v>133</v>
      </c>
      <c r="B167" s="1" t="s">
        <v>124</v>
      </c>
      <c r="C167" s="2">
        <v>33.524999999999999</v>
      </c>
      <c r="D167" s="2">
        <v>23.038</v>
      </c>
      <c r="E167" s="8" t="s">
        <v>366</v>
      </c>
      <c r="F167" s="8" t="s">
        <v>203</v>
      </c>
      <c r="G167" s="1" t="s">
        <v>129</v>
      </c>
      <c r="H167" s="1"/>
      <c r="I167" s="1" t="s">
        <v>347</v>
      </c>
      <c r="J167" s="1">
        <v>13</v>
      </c>
      <c r="K167" s="1" t="str">
        <f>CONCATENATE(I167,J167)</f>
        <v>F13</v>
      </c>
      <c r="L167" s="1" t="s">
        <v>360</v>
      </c>
      <c r="M167" s="1">
        <v>198</v>
      </c>
      <c r="N167">
        <v>203</v>
      </c>
      <c r="O167" s="7" t="s">
        <v>369</v>
      </c>
      <c r="Q167" s="1" t="s">
        <v>124</v>
      </c>
      <c r="R167" s="15" t="s">
        <v>607</v>
      </c>
      <c r="T167" s="2">
        <v>33.524999999999999</v>
      </c>
      <c r="U167" s="2">
        <v>23.038</v>
      </c>
      <c r="V167" s="15" t="s">
        <v>942</v>
      </c>
      <c r="W167" s="18">
        <f>T167-U167</f>
        <v>10.486999999999998</v>
      </c>
      <c r="X167" s="15"/>
      <c r="Y167" s="15"/>
      <c r="Z167" s="1" t="s">
        <v>129</v>
      </c>
      <c r="AA167" s="15"/>
      <c r="AB167" s="15"/>
      <c r="AC167" s="15"/>
      <c r="AD167" s="15"/>
      <c r="AE167" s="15"/>
      <c r="AF167" s="15"/>
      <c r="AG167" s="29"/>
      <c r="AH167" s="1" t="s">
        <v>129</v>
      </c>
      <c r="AJ167" s="7" t="s">
        <v>1050</v>
      </c>
      <c r="AL167" s="1" t="s">
        <v>124</v>
      </c>
      <c r="AM167" s="15" t="s">
        <v>607</v>
      </c>
      <c r="AN167" t="b">
        <f t="shared" si="1"/>
        <v>1</v>
      </c>
    </row>
    <row r="168" spans="1:40" ht="26.25">
      <c r="A168" s="1">
        <v>181</v>
      </c>
      <c r="B168" s="1" t="s">
        <v>167</v>
      </c>
      <c r="C168" s="2">
        <v>31.739000000000001</v>
      </c>
      <c r="D168" s="2">
        <v>22.4</v>
      </c>
      <c r="E168" s="8" t="s">
        <v>203</v>
      </c>
      <c r="F168" s="8" t="s">
        <v>203</v>
      </c>
      <c r="G168" s="1" t="s">
        <v>203</v>
      </c>
      <c r="H168" s="1"/>
      <c r="I168" s="1" t="s">
        <v>349</v>
      </c>
      <c r="J168" s="1">
        <v>13</v>
      </c>
      <c r="K168" s="1" t="str">
        <f>CONCATENATE(I168,J168)</f>
        <v>H13</v>
      </c>
      <c r="L168" s="1" t="s">
        <v>360</v>
      </c>
      <c r="M168" s="1">
        <v>200</v>
      </c>
      <c r="N168">
        <v>204</v>
      </c>
      <c r="O168" s="7" t="s">
        <v>369</v>
      </c>
      <c r="Q168" s="1" t="s">
        <v>167</v>
      </c>
      <c r="R168" s="15" t="s">
        <v>499</v>
      </c>
      <c r="T168" s="2">
        <v>31.739000000000001</v>
      </c>
      <c r="U168" s="2">
        <v>22.4</v>
      </c>
      <c r="V168" s="15" t="s">
        <v>833</v>
      </c>
      <c r="W168" s="18">
        <f>T168-U168</f>
        <v>9.3390000000000022</v>
      </c>
      <c r="X168" s="15"/>
      <c r="Y168" s="15"/>
      <c r="Z168" s="1" t="s">
        <v>129</v>
      </c>
      <c r="AA168" s="15"/>
      <c r="AB168" s="15"/>
      <c r="AC168" s="15"/>
      <c r="AD168" s="15"/>
      <c r="AE168" s="15"/>
      <c r="AF168" s="15"/>
      <c r="AG168" s="29"/>
      <c r="AH168" s="1" t="s">
        <v>129</v>
      </c>
      <c r="AJ168" s="7" t="s">
        <v>1050</v>
      </c>
      <c r="AL168" s="1" t="s">
        <v>167</v>
      </c>
      <c r="AM168" s="15" t="s">
        <v>499</v>
      </c>
      <c r="AN168" t="b">
        <f t="shared" si="1"/>
        <v>1</v>
      </c>
    </row>
    <row r="169" spans="1:40" ht="26.25">
      <c r="A169" s="1">
        <v>229</v>
      </c>
      <c r="B169" s="1" t="s">
        <v>209</v>
      </c>
      <c r="C169" s="2">
        <v>34.426000000000002</v>
      </c>
      <c r="D169" s="2">
        <v>24.776</v>
      </c>
      <c r="E169" s="8" t="s">
        <v>366</v>
      </c>
      <c r="F169" s="8" t="s">
        <v>203</v>
      </c>
      <c r="G169" s="1" t="s">
        <v>129</v>
      </c>
      <c r="H169" s="1"/>
      <c r="I169" s="1" t="s">
        <v>351</v>
      </c>
      <c r="J169" s="1">
        <v>13</v>
      </c>
      <c r="K169" s="1" t="str">
        <f>CONCATENATE(I169,J169)</f>
        <v>J13</v>
      </c>
      <c r="L169" s="1" t="s">
        <v>361</v>
      </c>
      <c r="M169" s="1">
        <v>290</v>
      </c>
      <c r="N169">
        <v>205</v>
      </c>
      <c r="O169" s="7" t="s">
        <v>369</v>
      </c>
      <c r="Q169" s="1" t="s">
        <v>209</v>
      </c>
      <c r="R169" s="15" t="s">
        <v>608</v>
      </c>
      <c r="T169" s="2">
        <v>34.426000000000002</v>
      </c>
      <c r="U169" s="2">
        <v>24.776</v>
      </c>
      <c r="V169" s="15" t="s">
        <v>943</v>
      </c>
      <c r="W169" s="18">
        <f>T169-U169</f>
        <v>9.6500000000000021</v>
      </c>
      <c r="X169" s="15"/>
      <c r="Y169" s="15"/>
      <c r="Z169" s="1" t="s">
        <v>129</v>
      </c>
      <c r="AA169" s="15"/>
      <c r="AB169" s="15"/>
      <c r="AC169" s="15"/>
      <c r="AD169" s="15"/>
      <c r="AE169" s="15"/>
      <c r="AF169" s="15"/>
      <c r="AG169" s="29"/>
      <c r="AH169" s="1" t="s">
        <v>129</v>
      </c>
      <c r="AJ169" s="7" t="s">
        <v>1050</v>
      </c>
      <c r="AL169" s="1" t="s">
        <v>209</v>
      </c>
      <c r="AM169" s="15" t="s">
        <v>608</v>
      </c>
      <c r="AN169" t="b">
        <f t="shared" si="1"/>
        <v>1</v>
      </c>
    </row>
    <row r="170" spans="1:40" ht="26.25">
      <c r="A170" s="1">
        <v>277</v>
      </c>
      <c r="B170" s="1" t="s">
        <v>249</v>
      </c>
      <c r="C170" s="2">
        <v>33.722999999999999</v>
      </c>
      <c r="D170" s="2">
        <v>25.331</v>
      </c>
      <c r="E170" s="8" t="s">
        <v>366</v>
      </c>
      <c r="F170" s="8" t="s">
        <v>203</v>
      </c>
      <c r="G170" s="1" t="s">
        <v>129</v>
      </c>
      <c r="H170" s="1"/>
      <c r="I170" s="1" t="s">
        <v>357</v>
      </c>
      <c r="J170" s="1">
        <v>13</v>
      </c>
      <c r="K170" s="1" t="str">
        <f>CONCATENATE(I170,J170)</f>
        <v>L13</v>
      </c>
      <c r="L170" s="1" t="s">
        <v>361</v>
      </c>
      <c r="M170" s="1">
        <v>292</v>
      </c>
      <c r="N170">
        <v>206</v>
      </c>
      <c r="O170" s="7" t="s">
        <v>369</v>
      </c>
      <c r="Q170" s="1" t="s">
        <v>249</v>
      </c>
      <c r="R170" s="15" t="s">
        <v>609</v>
      </c>
      <c r="T170" s="2">
        <v>33.722999999999999</v>
      </c>
      <c r="U170" s="2">
        <v>25.331</v>
      </c>
      <c r="V170" s="15" t="s">
        <v>944</v>
      </c>
      <c r="W170" s="18">
        <f>T170-U170</f>
        <v>8.3919999999999995</v>
      </c>
      <c r="X170" s="15"/>
      <c r="Y170" s="15"/>
      <c r="Z170" s="1" t="s">
        <v>129</v>
      </c>
      <c r="AA170" s="15"/>
      <c r="AB170" s="15"/>
      <c r="AC170" s="15"/>
      <c r="AD170" s="15"/>
      <c r="AE170" s="15"/>
      <c r="AF170" s="15"/>
      <c r="AG170" s="29"/>
      <c r="AH170" s="1" t="s">
        <v>129</v>
      </c>
      <c r="AJ170" s="7" t="s">
        <v>1050</v>
      </c>
      <c r="AL170" s="1" t="s">
        <v>249</v>
      </c>
      <c r="AM170" s="15" t="s">
        <v>609</v>
      </c>
      <c r="AN170" t="b">
        <f t="shared" si="1"/>
        <v>1</v>
      </c>
    </row>
    <row r="171" spans="1:40" ht="26.25">
      <c r="A171" s="1">
        <v>325</v>
      </c>
      <c r="B171" s="1" t="s">
        <v>288</v>
      </c>
      <c r="C171" s="2">
        <v>24.832999999999998</v>
      </c>
      <c r="D171" s="2">
        <v>24.609000000000002</v>
      </c>
      <c r="E171" s="8" t="s">
        <v>203</v>
      </c>
      <c r="F171" s="8" t="s">
        <v>203</v>
      </c>
      <c r="G171" s="1" t="s">
        <v>203</v>
      </c>
      <c r="H171" s="1"/>
      <c r="I171" s="1" t="s">
        <v>4</v>
      </c>
      <c r="J171" s="1">
        <v>13</v>
      </c>
      <c r="K171" s="1" t="str">
        <f>CONCATENATE(I171,J171)</f>
        <v>N13</v>
      </c>
      <c r="L171" s="1" t="s">
        <v>361</v>
      </c>
      <c r="M171" s="1">
        <v>294</v>
      </c>
      <c r="N171">
        <v>207</v>
      </c>
      <c r="O171" s="7" t="s">
        <v>369</v>
      </c>
      <c r="Q171" s="1" t="s">
        <v>288</v>
      </c>
      <c r="R171" s="15" t="s">
        <v>500</v>
      </c>
      <c r="T171" s="2">
        <v>24.832999999999998</v>
      </c>
      <c r="U171" s="2">
        <v>24.609000000000002</v>
      </c>
      <c r="V171" s="15" t="s">
        <v>834</v>
      </c>
      <c r="W171" s="18">
        <f>T171-U171</f>
        <v>0.22399999999999665</v>
      </c>
      <c r="X171" s="30">
        <v>582.30999999999995</v>
      </c>
      <c r="Y171" s="30">
        <f>(X171-122)/3</f>
        <v>153.43666666666664</v>
      </c>
      <c r="Z171" s="1" t="s">
        <v>203</v>
      </c>
      <c r="AA171" s="15"/>
      <c r="AB171" s="15"/>
      <c r="AC171" s="15"/>
      <c r="AD171" s="15"/>
      <c r="AE171" s="15">
        <v>2625</v>
      </c>
      <c r="AF171" s="15"/>
      <c r="AG171" s="29"/>
      <c r="AH171" s="1" t="s">
        <v>86</v>
      </c>
      <c r="AJ171" s="7" t="s">
        <v>1050</v>
      </c>
      <c r="AL171" s="1" t="s">
        <v>288</v>
      </c>
      <c r="AM171" s="15" t="s">
        <v>500</v>
      </c>
      <c r="AN171" t="b">
        <f t="shared" si="1"/>
        <v>1</v>
      </c>
    </row>
    <row r="172" spans="1:40" ht="26.25">
      <c r="A172" s="1">
        <v>373</v>
      </c>
      <c r="B172" s="1" t="s">
        <v>327</v>
      </c>
      <c r="C172" s="2">
        <v>25.103999999999999</v>
      </c>
      <c r="D172" s="2">
        <v>24.83</v>
      </c>
      <c r="E172" s="8" t="s">
        <v>203</v>
      </c>
      <c r="F172" s="8" t="s">
        <v>203</v>
      </c>
      <c r="G172" s="1" t="s">
        <v>203</v>
      </c>
      <c r="H172" s="1"/>
      <c r="I172" s="1" t="s">
        <v>355</v>
      </c>
      <c r="J172" s="1">
        <v>13</v>
      </c>
      <c r="K172" s="1" t="str">
        <f>CONCATENATE(I172,J172)</f>
        <v>P13</v>
      </c>
      <c r="L172" s="1" t="s">
        <v>361</v>
      </c>
      <c r="M172" s="1">
        <v>296</v>
      </c>
      <c r="N172">
        <v>208</v>
      </c>
      <c r="O172" s="7" t="s">
        <v>369</v>
      </c>
      <c r="Q172" s="1" t="s">
        <v>327</v>
      </c>
      <c r="R172" s="15" t="s">
        <v>501</v>
      </c>
      <c r="T172" s="2">
        <v>25.103999999999999</v>
      </c>
      <c r="U172" s="2">
        <v>24.83</v>
      </c>
      <c r="V172" s="15" t="s">
        <v>835</v>
      </c>
      <c r="W172" s="18">
        <f>T172-U172</f>
        <v>0.27400000000000091</v>
      </c>
      <c r="X172" s="30">
        <v>579.39</v>
      </c>
      <c r="Y172" s="30">
        <f>(X172-122)/3</f>
        <v>152.46333333333334</v>
      </c>
      <c r="Z172" s="1" t="s">
        <v>203</v>
      </c>
      <c r="AA172" s="15"/>
      <c r="AB172" s="15"/>
      <c r="AC172" s="15"/>
      <c r="AD172" s="15"/>
      <c r="AE172" s="15">
        <v>3356</v>
      </c>
      <c r="AF172" s="15"/>
      <c r="AG172" s="29"/>
      <c r="AH172" s="1" t="s">
        <v>86</v>
      </c>
      <c r="AJ172" s="7" t="s">
        <v>1050</v>
      </c>
      <c r="AL172" s="1" t="s">
        <v>327</v>
      </c>
      <c r="AM172" s="15" t="s">
        <v>501</v>
      </c>
      <c r="AN172" t="b">
        <f t="shared" si="1"/>
        <v>1</v>
      </c>
    </row>
    <row r="173" spans="1:40" ht="26.25">
      <c r="A173" s="1">
        <v>14</v>
      </c>
      <c r="B173" s="1" t="s">
        <v>16</v>
      </c>
      <c r="C173" s="2" t="s">
        <v>129</v>
      </c>
      <c r="D173" s="2">
        <v>24.178999999999998</v>
      </c>
      <c r="E173" s="8" t="s">
        <v>129</v>
      </c>
      <c r="F173" s="8" t="s">
        <v>203</v>
      </c>
      <c r="G173" s="1" t="s">
        <v>129</v>
      </c>
      <c r="H173" s="1"/>
      <c r="I173" s="1" t="s">
        <v>342</v>
      </c>
      <c r="J173" s="1">
        <v>14</v>
      </c>
      <c r="K173" s="1" t="str">
        <f>CONCATENATE(I173,J173)</f>
        <v>A14</v>
      </c>
      <c r="L173" s="1" t="s">
        <v>360</v>
      </c>
      <c r="M173" s="1">
        <v>201</v>
      </c>
      <c r="N173">
        <v>209</v>
      </c>
      <c r="O173" s="7" t="s">
        <v>369</v>
      </c>
      <c r="Q173" s="1" t="s">
        <v>16</v>
      </c>
      <c r="R173" s="15" t="s">
        <v>651</v>
      </c>
      <c r="T173" s="2" t="s">
        <v>129</v>
      </c>
      <c r="U173" s="2">
        <v>24.178999999999998</v>
      </c>
      <c r="V173" s="15" t="s">
        <v>986</v>
      </c>
      <c r="W173" s="18" t="e">
        <f>T173-U173</f>
        <v>#VALUE!</v>
      </c>
      <c r="X173" s="15"/>
      <c r="Y173" s="15"/>
      <c r="Z173" s="1" t="s">
        <v>129</v>
      </c>
      <c r="AA173" s="15"/>
      <c r="AB173" s="15"/>
      <c r="AC173" s="15"/>
      <c r="AD173" s="15"/>
      <c r="AE173" s="15"/>
      <c r="AF173" s="15"/>
      <c r="AG173" s="29"/>
      <c r="AH173" s="1" t="s">
        <v>86</v>
      </c>
      <c r="AJ173" s="7" t="s">
        <v>1050</v>
      </c>
      <c r="AL173" s="1" t="s">
        <v>16</v>
      </c>
      <c r="AM173" s="15" t="s">
        <v>651</v>
      </c>
      <c r="AN173" t="b">
        <f t="shared" si="1"/>
        <v>1</v>
      </c>
    </row>
    <row r="174" spans="1:40" ht="26.25">
      <c r="A174" s="1">
        <v>62</v>
      </c>
      <c r="B174" s="1" t="s">
        <v>60</v>
      </c>
      <c r="C174" s="2">
        <v>35.456000000000003</v>
      </c>
      <c r="D174" s="2">
        <v>23.975000000000001</v>
      </c>
      <c r="E174" s="8" t="s">
        <v>366</v>
      </c>
      <c r="F174" s="8" t="s">
        <v>203</v>
      </c>
      <c r="G174" s="1" t="s">
        <v>129</v>
      </c>
      <c r="H174" s="1"/>
      <c r="I174" s="1" t="s">
        <v>344</v>
      </c>
      <c r="J174" s="1">
        <v>14</v>
      </c>
      <c r="K174" s="1" t="str">
        <f>CONCATENATE(I174,J174)</f>
        <v>C14</v>
      </c>
      <c r="L174" s="1" t="s">
        <v>360</v>
      </c>
      <c r="M174" s="1">
        <v>203</v>
      </c>
      <c r="N174">
        <v>210</v>
      </c>
      <c r="O174" s="7" t="s">
        <v>369</v>
      </c>
      <c r="Q174" s="1" t="s">
        <v>60</v>
      </c>
      <c r="R174" s="15" t="s">
        <v>610</v>
      </c>
      <c r="T174" s="2">
        <v>35.456000000000003</v>
      </c>
      <c r="U174" s="2">
        <v>23.975000000000001</v>
      </c>
      <c r="V174" s="15" t="s">
        <v>945</v>
      </c>
      <c r="W174" s="18">
        <f>T174-U174</f>
        <v>11.481000000000002</v>
      </c>
      <c r="X174" s="15"/>
      <c r="Y174" s="15"/>
      <c r="Z174" s="1" t="s">
        <v>129</v>
      </c>
      <c r="AA174" s="15"/>
      <c r="AB174" s="15"/>
      <c r="AC174" s="15"/>
      <c r="AD174" s="15"/>
      <c r="AE174" s="15"/>
      <c r="AF174" s="15"/>
      <c r="AG174" s="29"/>
      <c r="AH174" s="1" t="s">
        <v>129</v>
      </c>
      <c r="AJ174" s="7" t="s">
        <v>1050</v>
      </c>
      <c r="AL174" s="1" t="s">
        <v>60</v>
      </c>
      <c r="AM174" s="15" t="s">
        <v>610</v>
      </c>
      <c r="AN174" t="b">
        <f t="shared" si="1"/>
        <v>1</v>
      </c>
    </row>
    <row r="175" spans="1:40" ht="26.25">
      <c r="A175" s="1">
        <v>110</v>
      </c>
      <c r="B175" s="1" t="s">
        <v>104</v>
      </c>
      <c r="C175" s="2">
        <v>23.61</v>
      </c>
      <c r="D175" s="2">
        <v>23.084</v>
      </c>
      <c r="E175" s="8" t="s">
        <v>203</v>
      </c>
      <c r="F175" s="8" t="s">
        <v>203</v>
      </c>
      <c r="G175" s="1" t="s">
        <v>203</v>
      </c>
      <c r="H175" s="1"/>
      <c r="I175" s="1" t="s">
        <v>346</v>
      </c>
      <c r="J175" s="1">
        <v>14</v>
      </c>
      <c r="K175" s="1" t="str">
        <f>CONCATENATE(I175,J175)</f>
        <v>E14</v>
      </c>
      <c r="L175" s="1" t="s">
        <v>360</v>
      </c>
      <c r="M175" s="1">
        <v>205</v>
      </c>
      <c r="N175">
        <v>211</v>
      </c>
      <c r="O175" s="7" t="s">
        <v>369</v>
      </c>
      <c r="Q175" s="1" t="s">
        <v>104</v>
      </c>
      <c r="R175" s="15" t="s">
        <v>502</v>
      </c>
      <c r="T175" s="2">
        <v>23.61</v>
      </c>
      <c r="U175" s="2">
        <v>23.084</v>
      </c>
      <c r="V175" s="15" t="s">
        <v>836</v>
      </c>
      <c r="W175" s="18">
        <f>T175-U175</f>
        <v>0.5259999999999998</v>
      </c>
      <c r="X175" s="30">
        <v>596.92999999999995</v>
      </c>
      <c r="Y175" s="30">
        <f>(X175-122)/3</f>
        <v>158.30999999999997</v>
      </c>
      <c r="Z175" s="1" t="s">
        <v>203</v>
      </c>
      <c r="AA175" s="15"/>
      <c r="AB175" s="15"/>
      <c r="AC175" s="15"/>
      <c r="AD175" s="15"/>
      <c r="AE175" s="15">
        <v>3903</v>
      </c>
      <c r="AF175" s="15"/>
      <c r="AG175" s="29"/>
      <c r="AH175" s="1" t="s">
        <v>86</v>
      </c>
      <c r="AJ175" s="7" t="s">
        <v>1050</v>
      </c>
      <c r="AL175" s="1" t="s">
        <v>104</v>
      </c>
      <c r="AM175" s="15" t="s">
        <v>502</v>
      </c>
      <c r="AN175" t="b">
        <f t="shared" si="1"/>
        <v>1</v>
      </c>
    </row>
    <row r="176" spans="1:40" ht="26.25">
      <c r="A176" s="1">
        <v>158</v>
      </c>
      <c r="B176" s="1" t="s">
        <v>147</v>
      </c>
      <c r="C176" s="2">
        <v>24.861999999999998</v>
      </c>
      <c r="D176" s="2">
        <v>24.608000000000001</v>
      </c>
      <c r="E176" s="8" t="s">
        <v>203</v>
      </c>
      <c r="F176" s="8" t="s">
        <v>203</v>
      </c>
      <c r="G176" s="1" t="s">
        <v>203</v>
      </c>
      <c r="H176" s="1"/>
      <c r="I176" s="1" t="s">
        <v>348</v>
      </c>
      <c r="J176" s="1">
        <v>14</v>
      </c>
      <c r="K176" s="1" t="str">
        <f>CONCATENATE(I176,J176)</f>
        <v>G14</v>
      </c>
      <c r="L176" s="1" t="s">
        <v>360</v>
      </c>
      <c r="M176" s="1">
        <v>207</v>
      </c>
      <c r="N176">
        <v>212</v>
      </c>
      <c r="O176" s="7" t="s">
        <v>369</v>
      </c>
      <c r="Q176" s="1" t="s">
        <v>147</v>
      </c>
      <c r="R176" s="15" t="s">
        <v>503</v>
      </c>
      <c r="T176" s="2">
        <v>24.861999999999998</v>
      </c>
      <c r="U176" s="2">
        <v>24.608000000000001</v>
      </c>
      <c r="V176" s="15" t="s">
        <v>837</v>
      </c>
      <c r="W176" s="18">
        <f>T176-U176</f>
        <v>0.25399999999999778</v>
      </c>
      <c r="X176" s="30">
        <v>588.28</v>
      </c>
      <c r="Y176" s="30">
        <f>(X176-122)/3</f>
        <v>155.42666666666665</v>
      </c>
      <c r="Z176" s="1" t="s">
        <v>203</v>
      </c>
      <c r="AA176" s="15"/>
      <c r="AB176" s="15"/>
      <c r="AC176" s="15"/>
      <c r="AD176" s="15"/>
      <c r="AE176" s="15">
        <v>2510</v>
      </c>
      <c r="AF176" s="15"/>
      <c r="AG176" s="29"/>
      <c r="AH176" s="1" t="s">
        <v>129</v>
      </c>
      <c r="AJ176" s="7" t="s">
        <v>1050</v>
      </c>
      <c r="AL176" s="1" t="s">
        <v>147</v>
      </c>
      <c r="AM176" s="15" t="s">
        <v>503</v>
      </c>
      <c r="AN176" t="b">
        <f t="shared" si="1"/>
        <v>1</v>
      </c>
    </row>
    <row r="177" spans="1:40" ht="26.25">
      <c r="A177" s="1">
        <v>206</v>
      </c>
      <c r="B177" s="1" t="s">
        <v>190</v>
      </c>
      <c r="C177" s="2">
        <v>33.917000000000002</v>
      </c>
      <c r="D177" s="2">
        <v>25.462</v>
      </c>
      <c r="E177" s="8" t="s">
        <v>366</v>
      </c>
      <c r="F177" s="8" t="s">
        <v>203</v>
      </c>
      <c r="G177" s="1" t="s">
        <v>129</v>
      </c>
      <c r="H177" s="1"/>
      <c r="I177" s="1" t="s">
        <v>350</v>
      </c>
      <c r="J177" s="1">
        <v>14</v>
      </c>
      <c r="K177" s="1" t="str">
        <f>CONCATENATE(I177,J177)</f>
        <v>I14</v>
      </c>
      <c r="L177" s="1" t="s">
        <v>361</v>
      </c>
      <c r="M177" s="1">
        <v>297</v>
      </c>
      <c r="N177">
        <v>213</v>
      </c>
      <c r="O177" s="7" t="s">
        <v>369</v>
      </c>
      <c r="Q177" s="1" t="s">
        <v>190</v>
      </c>
      <c r="R177" s="15" t="s">
        <v>611</v>
      </c>
      <c r="T177" s="2">
        <v>33.917000000000002</v>
      </c>
      <c r="U177" s="2">
        <v>25.462</v>
      </c>
      <c r="V177" s="15" t="s">
        <v>946</v>
      </c>
      <c r="W177" s="18">
        <f>T177-U177</f>
        <v>8.4550000000000018</v>
      </c>
      <c r="X177" s="15"/>
      <c r="Y177" s="15"/>
      <c r="Z177" s="1" t="s">
        <v>129</v>
      </c>
      <c r="AA177" s="15"/>
      <c r="AB177" s="15"/>
      <c r="AC177" s="15"/>
      <c r="AD177" s="15"/>
      <c r="AE177" s="15"/>
      <c r="AF177" s="15"/>
      <c r="AG177" s="29"/>
      <c r="AH177" s="1" t="s">
        <v>86</v>
      </c>
      <c r="AJ177" s="7" t="s">
        <v>1050</v>
      </c>
      <c r="AL177" s="1" t="s">
        <v>190</v>
      </c>
      <c r="AM177" s="15" t="s">
        <v>611</v>
      </c>
      <c r="AN177" t="b">
        <f t="shared" si="1"/>
        <v>1</v>
      </c>
    </row>
    <row r="178" spans="1:40" ht="26.25">
      <c r="A178" s="1">
        <v>254</v>
      </c>
      <c r="B178" s="1" t="s">
        <v>231</v>
      </c>
      <c r="C178" s="2">
        <v>24.901</v>
      </c>
      <c r="D178" s="2">
        <v>24.645</v>
      </c>
      <c r="E178" s="8" t="s">
        <v>203</v>
      </c>
      <c r="F178" s="8" t="s">
        <v>203</v>
      </c>
      <c r="G178" s="1" t="s">
        <v>203</v>
      </c>
      <c r="H178" s="1"/>
      <c r="I178" s="1" t="s">
        <v>352</v>
      </c>
      <c r="J178" s="1">
        <v>14</v>
      </c>
      <c r="K178" s="1" t="str">
        <f>CONCATENATE(I178,J178)</f>
        <v>K14</v>
      </c>
      <c r="L178" s="1" t="s">
        <v>361</v>
      </c>
      <c r="M178" s="1">
        <v>299</v>
      </c>
      <c r="N178">
        <v>214</v>
      </c>
      <c r="O178" s="7" t="s">
        <v>369</v>
      </c>
      <c r="Q178" s="1" t="s">
        <v>231</v>
      </c>
      <c r="R178" s="15" t="s">
        <v>504</v>
      </c>
      <c r="T178" s="2">
        <v>24.901</v>
      </c>
      <c r="U178" s="2">
        <v>24.645</v>
      </c>
      <c r="V178" s="15" t="s">
        <v>838</v>
      </c>
      <c r="W178" s="18">
        <f>T178-U178</f>
        <v>0.25600000000000023</v>
      </c>
      <c r="X178" s="30">
        <v>602.58000000000004</v>
      </c>
      <c r="Y178" s="30">
        <f>(X178-122)/3</f>
        <v>160.19333333333336</v>
      </c>
      <c r="Z178" s="1" t="s">
        <v>203</v>
      </c>
      <c r="AA178" s="15"/>
      <c r="AB178" s="15"/>
      <c r="AC178" s="15"/>
      <c r="AD178" s="15"/>
      <c r="AE178" s="15">
        <v>2588</v>
      </c>
      <c r="AF178" s="15"/>
      <c r="AG178" s="29"/>
      <c r="AH178" s="1" t="s">
        <v>86</v>
      </c>
      <c r="AJ178" s="7" t="s">
        <v>1050</v>
      </c>
      <c r="AL178" s="1" t="s">
        <v>231</v>
      </c>
      <c r="AM178" s="15" t="s">
        <v>504</v>
      </c>
      <c r="AN178" t="b">
        <f t="shared" si="1"/>
        <v>1</v>
      </c>
    </row>
    <row r="179" spans="1:40" ht="26.25">
      <c r="A179" s="1">
        <v>302</v>
      </c>
      <c r="B179" s="1" t="s">
        <v>271</v>
      </c>
      <c r="C179" s="2" t="s">
        <v>129</v>
      </c>
      <c r="D179" s="2">
        <v>22.861999999999998</v>
      </c>
      <c r="E179" s="8" t="s">
        <v>129</v>
      </c>
      <c r="F179" s="8" t="s">
        <v>203</v>
      </c>
      <c r="G179" s="1" t="s">
        <v>129</v>
      </c>
      <c r="H179" s="1"/>
      <c r="I179" s="1" t="s">
        <v>353</v>
      </c>
      <c r="J179" s="1">
        <v>14</v>
      </c>
      <c r="K179" s="1" t="str">
        <f>CONCATENATE(I179,J179)</f>
        <v>M14</v>
      </c>
      <c r="L179" s="1" t="s">
        <v>361</v>
      </c>
      <c r="M179" s="1">
        <v>301</v>
      </c>
      <c r="N179">
        <v>215</v>
      </c>
      <c r="O179" s="7" t="s">
        <v>369</v>
      </c>
      <c r="Q179" s="1" t="s">
        <v>271</v>
      </c>
      <c r="R179" s="15" t="s">
        <v>652</v>
      </c>
      <c r="T179" s="2" t="s">
        <v>129</v>
      </c>
      <c r="U179" s="2">
        <v>22.861999999999998</v>
      </c>
      <c r="V179" s="15" t="s">
        <v>987</v>
      </c>
      <c r="W179" s="18" t="e">
        <f>T179-U179</f>
        <v>#VALUE!</v>
      </c>
      <c r="X179" s="15"/>
      <c r="Y179" s="15"/>
      <c r="Z179" s="1" t="s">
        <v>129</v>
      </c>
      <c r="AA179" s="15"/>
      <c r="AB179" s="15"/>
      <c r="AC179" s="15"/>
      <c r="AD179" s="15"/>
      <c r="AE179" s="15"/>
      <c r="AF179" s="15"/>
      <c r="AG179" s="29"/>
      <c r="AH179" s="1" t="s">
        <v>86</v>
      </c>
      <c r="AJ179" s="7" t="s">
        <v>1050</v>
      </c>
      <c r="AL179" s="1" t="s">
        <v>271</v>
      </c>
      <c r="AM179" s="15" t="s">
        <v>652</v>
      </c>
      <c r="AN179" t="b">
        <f t="shared" si="1"/>
        <v>1</v>
      </c>
    </row>
    <row r="180" spans="1:40" ht="26.25">
      <c r="A180" s="1">
        <v>350</v>
      </c>
      <c r="B180" s="1" t="s">
        <v>310</v>
      </c>
      <c r="C180" s="2" t="s">
        <v>129</v>
      </c>
      <c r="D180" s="2">
        <v>22.085999999999999</v>
      </c>
      <c r="E180" s="8" t="s">
        <v>129</v>
      </c>
      <c r="F180" s="8" t="s">
        <v>203</v>
      </c>
      <c r="G180" s="1" t="s">
        <v>129</v>
      </c>
      <c r="H180" s="1"/>
      <c r="I180" s="1" t="s">
        <v>354</v>
      </c>
      <c r="J180" s="1">
        <v>14</v>
      </c>
      <c r="K180" s="1" t="str">
        <f>CONCATENATE(I180,J180)</f>
        <v>O14</v>
      </c>
      <c r="L180" s="1" t="s">
        <v>361</v>
      </c>
      <c r="M180" s="1">
        <v>303</v>
      </c>
      <c r="N180">
        <v>216</v>
      </c>
      <c r="O180" s="7" t="s">
        <v>369</v>
      </c>
      <c r="Q180" s="1" t="s">
        <v>310</v>
      </c>
      <c r="R180" s="15" t="s">
        <v>653</v>
      </c>
      <c r="T180" s="2" t="s">
        <v>129</v>
      </c>
      <c r="U180" s="2">
        <v>22.085999999999999</v>
      </c>
      <c r="V180" s="15" t="s">
        <v>988</v>
      </c>
      <c r="W180" s="18" t="e">
        <f>T180-U180</f>
        <v>#VALUE!</v>
      </c>
      <c r="X180" s="15"/>
      <c r="Y180" s="15"/>
      <c r="Z180" s="1" t="s">
        <v>129</v>
      </c>
      <c r="AA180" s="15"/>
      <c r="AB180" s="15"/>
      <c r="AC180" s="15"/>
      <c r="AD180" s="15"/>
      <c r="AE180" s="15"/>
      <c r="AF180" s="15"/>
      <c r="AG180" s="29"/>
      <c r="AH180" s="1" t="s">
        <v>129</v>
      </c>
      <c r="AJ180" s="7" t="s">
        <v>1050</v>
      </c>
      <c r="AL180" s="1" t="s">
        <v>310</v>
      </c>
      <c r="AM180" s="15" t="s">
        <v>653</v>
      </c>
      <c r="AN180" t="b">
        <f t="shared" si="1"/>
        <v>1</v>
      </c>
    </row>
    <row r="181" spans="1:40" ht="26.25">
      <c r="A181" s="1">
        <v>38</v>
      </c>
      <c r="B181" s="1" t="s">
        <v>38</v>
      </c>
      <c r="C181" s="2" t="s">
        <v>129</v>
      </c>
      <c r="D181" s="2">
        <v>24.202999999999999</v>
      </c>
      <c r="E181" s="8" t="s">
        <v>129</v>
      </c>
      <c r="F181" s="8" t="s">
        <v>203</v>
      </c>
      <c r="G181" s="1" t="s">
        <v>129</v>
      </c>
      <c r="H181" s="1"/>
      <c r="I181" s="1" t="s">
        <v>343</v>
      </c>
      <c r="J181" s="1">
        <v>14</v>
      </c>
      <c r="K181" s="1" t="str">
        <f>CONCATENATE(I181,J181)</f>
        <v>B14</v>
      </c>
      <c r="L181" s="1" t="s">
        <v>360</v>
      </c>
      <c r="M181" s="1">
        <v>202</v>
      </c>
      <c r="N181">
        <v>217</v>
      </c>
      <c r="O181" s="7" t="s">
        <v>369</v>
      </c>
      <c r="Q181" s="1" t="s">
        <v>38</v>
      </c>
      <c r="R181" s="15" t="s">
        <v>654</v>
      </c>
      <c r="T181" s="2" t="s">
        <v>129</v>
      </c>
      <c r="U181" s="2">
        <v>24.202999999999999</v>
      </c>
      <c r="V181" s="15" t="s">
        <v>989</v>
      </c>
      <c r="W181" s="18" t="e">
        <f>T181-U181</f>
        <v>#VALUE!</v>
      </c>
      <c r="X181" s="15"/>
      <c r="Y181" s="15"/>
      <c r="Z181" s="1" t="s">
        <v>129</v>
      </c>
      <c r="AA181" s="15"/>
      <c r="AB181" s="15"/>
      <c r="AC181" s="15"/>
      <c r="AD181" s="15"/>
      <c r="AE181" s="15"/>
      <c r="AF181" s="15"/>
      <c r="AG181" s="29"/>
      <c r="AH181" s="1" t="s">
        <v>86</v>
      </c>
      <c r="AJ181" s="7" t="s">
        <v>1050</v>
      </c>
      <c r="AL181" s="1" t="s">
        <v>38</v>
      </c>
      <c r="AM181" s="15" t="s">
        <v>654</v>
      </c>
      <c r="AN181" t="b">
        <f t="shared" si="1"/>
        <v>1</v>
      </c>
    </row>
    <row r="182" spans="1:40" ht="26.25">
      <c r="A182" s="1">
        <v>86</v>
      </c>
      <c r="B182" s="1" t="s">
        <v>82</v>
      </c>
      <c r="C182" s="2" t="s">
        <v>129</v>
      </c>
      <c r="D182" s="2">
        <v>24.198</v>
      </c>
      <c r="E182" s="8" t="s">
        <v>129</v>
      </c>
      <c r="F182" s="8" t="s">
        <v>203</v>
      </c>
      <c r="G182" s="1" t="s">
        <v>129</v>
      </c>
      <c r="H182" s="1"/>
      <c r="I182" s="1" t="s">
        <v>345</v>
      </c>
      <c r="J182" s="1">
        <v>14</v>
      </c>
      <c r="K182" s="1" t="str">
        <f>CONCATENATE(I182,J182)</f>
        <v>D14</v>
      </c>
      <c r="L182" s="1" t="s">
        <v>360</v>
      </c>
      <c r="M182" s="1">
        <v>204</v>
      </c>
      <c r="N182">
        <v>218</v>
      </c>
      <c r="O182" s="7" t="s">
        <v>369</v>
      </c>
      <c r="Q182" s="1" t="s">
        <v>82</v>
      </c>
      <c r="R182" s="15" t="s">
        <v>655</v>
      </c>
      <c r="T182" s="2" t="s">
        <v>129</v>
      </c>
      <c r="U182" s="2">
        <v>24.198</v>
      </c>
      <c r="V182" s="15" t="s">
        <v>990</v>
      </c>
      <c r="W182" s="18" t="e">
        <f>T182-U182</f>
        <v>#VALUE!</v>
      </c>
      <c r="X182" s="15"/>
      <c r="Y182" s="15"/>
      <c r="Z182" s="1" t="s">
        <v>129</v>
      </c>
      <c r="AA182" s="15"/>
      <c r="AB182" s="15"/>
      <c r="AC182" s="15"/>
      <c r="AD182" s="15"/>
      <c r="AE182" s="15"/>
      <c r="AF182" s="15"/>
      <c r="AG182" s="29"/>
      <c r="AH182" s="1" t="s">
        <v>86</v>
      </c>
      <c r="AJ182" s="7" t="s">
        <v>1050</v>
      </c>
      <c r="AL182" s="1" t="s">
        <v>82</v>
      </c>
      <c r="AM182" s="15" t="s">
        <v>655</v>
      </c>
      <c r="AN182" t="b">
        <f t="shared" si="1"/>
        <v>1</v>
      </c>
    </row>
    <row r="183" spans="1:40" ht="26.25">
      <c r="A183" s="1">
        <v>134</v>
      </c>
      <c r="B183" s="1" t="s">
        <v>125</v>
      </c>
      <c r="C183" s="2">
        <v>22.803000000000001</v>
      </c>
      <c r="D183" s="2">
        <v>22.419</v>
      </c>
      <c r="E183" s="8" t="s">
        <v>203</v>
      </c>
      <c r="F183" s="8" t="s">
        <v>203</v>
      </c>
      <c r="G183" s="1" t="s">
        <v>203</v>
      </c>
      <c r="H183" s="1"/>
      <c r="I183" s="1" t="s">
        <v>347</v>
      </c>
      <c r="J183" s="1">
        <v>14</v>
      </c>
      <c r="K183" s="1" t="str">
        <f>CONCATENATE(I183,J183)</f>
        <v>F14</v>
      </c>
      <c r="L183" s="1" t="s">
        <v>360</v>
      </c>
      <c r="M183" s="1">
        <v>206</v>
      </c>
      <c r="N183">
        <v>219</v>
      </c>
      <c r="O183" s="7" t="s">
        <v>369</v>
      </c>
      <c r="Q183" s="1" t="s">
        <v>125</v>
      </c>
      <c r="R183" s="15" t="s">
        <v>505</v>
      </c>
      <c r="T183" s="2">
        <v>22.803000000000001</v>
      </c>
      <c r="U183" s="2">
        <v>22.419</v>
      </c>
      <c r="V183" s="15" t="s">
        <v>839</v>
      </c>
      <c r="W183" s="18">
        <f>T183-U183</f>
        <v>0.38400000000000034</v>
      </c>
      <c r="X183" s="30">
        <v>591.30999999999995</v>
      </c>
      <c r="Y183" s="30">
        <f>(X183-122)/3</f>
        <v>156.43666666666664</v>
      </c>
      <c r="Z183" s="1" t="s">
        <v>203</v>
      </c>
      <c r="AA183" s="15"/>
      <c r="AB183" s="15"/>
      <c r="AC183" s="15"/>
      <c r="AD183" s="15"/>
      <c r="AE183" s="15">
        <v>5530</v>
      </c>
      <c r="AF183" s="15"/>
      <c r="AG183" s="29"/>
      <c r="AH183" s="1" t="s">
        <v>86</v>
      </c>
      <c r="AJ183" s="7" t="s">
        <v>1050</v>
      </c>
      <c r="AL183" s="1" t="s">
        <v>125</v>
      </c>
      <c r="AM183" s="15" t="s">
        <v>505</v>
      </c>
      <c r="AN183" t="b">
        <f t="shared" si="1"/>
        <v>1</v>
      </c>
    </row>
    <row r="184" spans="1:40" ht="26.25">
      <c r="A184" s="1">
        <v>182</v>
      </c>
      <c r="B184" s="1" t="s">
        <v>168</v>
      </c>
      <c r="C184" s="2">
        <v>24.957000000000001</v>
      </c>
      <c r="D184" s="2">
        <v>24.815999999999999</v>
      </c>
      <c r="E184" s="8" t="s">
        <v>203</v>
      </c>
      <c r="F184" s="8" t="s">
        <v>203</v>
      </c>
      <c r="G184" s="1" t="s">
        <v>203</v>
      </c>
      <c r="H184" s="1"/>
      <c r="I184" s="1" t="s">
        <v>349</v>
      </c>
      <c r="J184" s="1">
        <v>14</v>
      </c>
      <c r="K184" s="1" t="str">
        <f>CONCATENATE(I184,J184)</f>
        <v>H14</v>
      </c>
      <c r="L184" s="1" t="s">
        <v>360</v>
      </c>
      <c r="M184" s="1">
        <v>208</v>
      </c>
      <c r="N184">
        <v>220</v>
      </c>
      <c r="O184" s="7" t="s">
        <v>369</v>
      </c>
      <c r="Q184" s="1" t="s">
        <v>168</v>
      </c>
      <c r="R184" s="15" t="s">
        <v>506</v>
      </c>
      <c r="T184" s="2">
        <v>24.957000000000001</v>
      </c>
      <c r="U184" s="2">
        <v>24.815999999999999</v>
      </c>
      <c r="V184" s="15" t="s">
        <v>840</v>
      </c>
      <c r="W184" s="18">
        <f>T184-U184</f>
        <v>0.14100000000000179</v>
      </c>
      <c r="X184" s="30">
        <v>614.23</v>
      </c>
      <c r="Y184" s="30">
        <f>(X184-122)/3</f>
        <v>164.07666666666668</v>
      </c>
      <c r="Z184" s="1" t="s">
        <v>203</v>
      </c>
      <c r="AA184" s="15"/>
      <c r="AB184" s="15"/>
      <c r="AC184" s="15"/>
      <c r="AD184" s="15"/>
      <c r="AE184" s="15">
        <v>2033</v>
      </c>
      <c r="AF184" s="15"/>
      <c r="AG184" s="29"/>
      <c r="AH184" s="1" t="s">
        <v>86</v>
      </c>
      <c r="AJ184" s="7" t="s">
        <v>1050</v>
      </c>
      <c r="AL184" s="1" t="s">
        <v>168</v>
      </c>
      <c r="AM184" s="15" t="s">
        <v>506</v>
      </c>
      <c r="AN184" t="b">
        <f t="shared" si="1"/>
        <v>1</v>
      </c>
    </row>
    <row r="185" spans="1:40" ht="26.25">
      <c r="A185" s="1">
        <v>230</v>
      </c>
      <c r="B185" s="1" t="s">
        <v>210</v>
      </c>
      <c r="C185" s="2">
        <v>25.745000000000001</v>
      </c>
      <c r="D185" s="2">
        <v>25.553000000000001</v>
      </c>
      <c r="E185" s="8" t="s">
        <v>203</v>
      </c>
      <c r="F185" s="8" t="s">
        <v>203</v>
      </c>
      <c r="G185" s="1" t="s">
        <v>203</v>
      </c>
      <c r="H185" s="1"/>
      <c r="I185" s="1" t="s">
        <v>351</v>
      </c>
      <c r="J185" s="1">
        <v>14</v>
      </c>
      <c r="K185" s="1" t="str">
        <f>CONCATENATE(I185,J185)</f>
        <v>J14</v>
      </c>
      <c r="L185" s="1" t="s">
        <v>361</v>
      </c>
      <c r="M185" s="1">
        <v>298</v>
      </c>
      <c r="N185">
        <v>221</v>
      </c>
      <c r="O185" s="7" t="s">
        <v>369</v>
      </c>
      <c r="Q185" s="1" t="s">
        <v>210</v>
      </c>
      <c r="R185" s="15" t="s">
        <v>507</v>
      </c>
      <c r="T185" s="2">
        <v>25.745000000000001</v>
      </c>
      <c r="U185" s="2">
        <v>25.553000000000001</v>
      </c>
      <c r="V185" s="15" t="s">
        <v>841</v>
      </c>
      <c r="W185" s="18">
        <f>T185-U185</f>
        <v>0.19200000000000017</v>
      </c>
      <c r="X185" s="30">
        <v>585.54</v>
      </c>
      <c r="Y185" s="30">
        <f>(X185-122)/3</f>
        <v>154.51333333333332</v>
      </c>
      <c r="Z185" s="1" t="s">
        <v>203</v>
      </c>
      <c r="AA185" s="15"/>
      <c r="AB185" s="15"/>
      <c r="AC185" s="15"/>
      <c r="AD185" s="15"/>
      <c r="AE185" s="15">
        <v>1650</v>
      </c>
      <c r="AF185" s="15">
        <v>2</v>
      </c>
      <c r="AG185" s="29"/>
      <c r="AH185" s="1" t="s">
        <v>129</v>
      </c>
      <c r="AJ185" s="7" t="s">
        <v>1050</v>
      </c>
      <c r="AL185" s="1" t="s">
        <v>210</v>
      </c>
      <c r="AM185" s="15" t="s">
        <v>507</v>
      </c>
      <c r="AN185" t="b">
        <f t="shared" si="1"/>
        <v>1</v>
      </c>
    </row>
    <row r="186" spans="1:40" ht="26.25">
      <c r="A186" s="1">
        <v>278</v>
      </c>
      <c r="B186" s="1" t="s">
        <v>250</v>
      </c>
      <c r="C186" s="2">
        <v>25.204999999999998</v>
      </c>
      <c r="D186" s="2">
        <v>24.707999999999998</v>
      </c>
      <c r="E186" s="8" t="s">
        <v>203</v>
      </c>
      <c r="F186" s="8" t="s">
        <v>203</v>
      </c>
      <c r="G186" s="1" t="s">
        <v>203</v>
      </c>
      <c r="H186" s="1"/>
      <c r="I186" s="1" t="s">
        <v>357</v>
      </c>
      <c r="J186" s="1">
        <v>14</v>
      </c>
      <c r="K186" s="1" t="str">
        <f>CONCATENATE(I186,J186)</f>
        <v>L14</v>
      </c>
      <c r="L186" s="1" t="s">
        <v>361</v>
      </c>
      <c r="M186" s="1">
        <v>300</v>
      </c>
      <c r="N186">
        <v>222</v>
      </c>
      <c r="O186" s="7" t="s">
        <v>369</v>
      </c>
      <c r="Q186" s="1" t="s">
        <v>250</v>
      </c>
      <c r="R186" s="15" t="s">
        <v>508</v>
      </c>
      <c r="T186" s="2">
        <v>25.204999999999998</v>
      </c>
      <c r="U186" s="2">
        <v>24.707999999999998</v>
      </c>
      <c r="V186" s="15" t="s">
        <v>842</v>
      </c>
      <c r="W186" s="18">
        <f>T186-U186</f>
        <v>0.49699999999999989</v>
      </c>
      <c r="X186" s="30">
        <v>608.57000000000005</v>
      </c>
      <c r="Y186" s="30">
        <f>(X186-122)/3</f>
        <v>162.19000000000003</v>
      </c>
      <c r="Z186" s="1" t="s">
        <v>203</v>
      </c>
      <c r="AA186" s="15"/>
      <c r="AB186" s="15"/>
      <c r="AC186" s="15"/>
      <c r="AD186" s="15"/>
      <c r="AE186" s="15">
        <v>2057</v>
      </c>
      <c r="AF186" s="15"/>
      <c r="AG186" s="29"/>
      <c r="AH186" s="1" t="s">
        <v>129</v>
      </c>
      <c r="AJ186" s="7" t="s">
        <v>1050</v>
      </c>
      <c r="AL186" s="1" t="s">
        <v>250</v>
      </c>
      <c r="AM186" s="15" t="s">
        <v>508</v>
      </c>
      <c r="AN186" t="b">
        <f t="shared" si="1"/>
        <v>1</v>
      </c>
    </row>
    <row r="187" spans="1:40" ht="26.25">
      <c r="A187" s="1">
        <v>326</v>
      </c>
      <c r="B187" s="1" t="s">
        <v>289</v>
      </c>
      <c r="C187" s="2">
        <v>33.881</v>
      </c>
      <c r="D187" s="2">
        <v>24.385000000000002</v>
      </c>
      <c r="E187" s="8" t="s">
        <v>366</v>
      </c>
      <c r="F187" s="8" t="s">
        <v>203</v>
      </c>
      <c r="G187" s="1" t="s">
        <v>129</v>
      </c>
      <c r="H187" s="1"/>
      <c r="I187" s="1" t="s">
        <v>4</v>
      </c>
      <c r="J187" s="1">
        <v>14</v>
      </c>
      <c r="K187" s="1" t="str">
        <f>CONCATENATE(I187,J187)</f>
        <v>N14</v>
      </c>
      <c r="L187" s="1" t="s">
        <v>361</v>
      </c>
      <c r="M187" s="1">
        <v>302</v>
      </c>
      <c r="N187">
        <v>223</v>
      </c>
      <c r="O187" s="7" t="s">
        <v>369</v>
      </c>
      <c r="Q187" s="1" t="s">
        <v>289</v>
      </c>
      <c r="R187" s="15" t="s">
        <v>612</v>
      </c>
      <c r="T187" s="2">
        <v>33.881</v>
      </c>
      <c r="U187" s="2">
        <v>24.385000000000002</v>
      </c>
      <c r="V187" s="15" t="s">
        <v>947</v>
      </c>
      <c r="W187" s="18">
        <f>T187-U187</f>
        <v>9.4959999999999987</v>
      </c>
      <c r="X187" s="15"/>
      <c r="Y187" s="15"/>
      <c r="Z187" s="1" t="s">
        <v>129</v>
      </c>
      <c r="AA187" s="15"/>
      <c r="AB187" s="15"/>
      <c r="AC187" s="15"/>
      <c r="AD187" s="15"/>
      <c r="AE187" s="15"/>
      <c r="AF187" s="15"/>
      <c r="AG187" s="29"/>
      <c r="AH187" s="1" t="s">
        <v>86</v>
      </c>
      <c r="AJ187" s="7" t="s">
        <v>1050</v>
      </c>
      <c r="AL187" s="1" t="s">
        <v>289</v>
      </c>
      <c r="AM187" s="15" t="s">
        <v>612</v>
      </c>
      <c r="AN187" t="b">
        <f t="shared" si="1"/>
        <v>1</v>
      </c>
    </row>
    <row r="188" spans="1:40" ht="26.25">
      <c r="A188" s="1">
        <v>374</v>
      </c>
      <c r="B188" s="1" t="s">
        <v>328</v>
      </c>
      <c r="C188" s="2">
        <v>24.535</v>
      </c>
      <c r="D188" s="2">
        <v>24.236999999999998</v>
      </c>
      <c r="E188" s="8" t="s">
        <v>203</v>
      </c>
      <c r="F188" s="8" t="s">
        <v>203</v>
      </c>
      <c r="G188" s="1" t="s">
        <v>203</v>
      </c>
      <c r="H188" s="1"/>
      <c r="I188" s="1" t="s">
        <v>355</v>
      </c>
      <c r="J188" s="1">
        <v>14</v>
      </c>
      <c r="K188" s="1" t="str">
        <f>CONCATENATE(I188,J188)</f>
        <v>P14</v>
      </c>
      <c r="L188" s="1" t="s">
        <v>361</v>
      </c>
      <c r="M188" s="1">
        <v>304</v>
      </c>
      <c r="N188">
        <v>224</v>
      </c>
      <c r="O188" s="7" t="s">
        <v>369</v>
      </c>
      <c r="Q188" s="1" t="s">
        <v>328</v>
      </c>
      <c r="R188" s="15" t="s">
        <v>509</v>
      </c>
      <c r="T188" s="2">
        <v>24.535</v>
      </c>
      <c r="U188" s="2">
        <v>24.236999999999998</v>
      </c>
      <c r="V188" s="15" t="s">
        <v>843</v>
      </c>
      <c r="W188" s="18">
        <f>T188-U188</f>
        <v>0.29800000000000182</v>
      </c>
      <c r="X188" s="30">
        <v>596.79999999999995</v>
      </c>
      <c r="Y188" s="30">
        <f>(X188-122)/3</f>
        <v>158.26666666666665</v>
      </c>
      <c r="Z188" s="1" t="s">
        <v>203</v>
      </c>
      <c r="AA188" s="15"/>
      <c r="AB188" s="15"/>
      <c r="AC188" s="15"/>
      <c r="AD188" s="15"/>
      <c r="AE188" s="15">
        <v>2298</v>
      </c>
      <c r="AF188" s="15"/>
      <c r="AG188" s="29"/>
      <c r="AH188" s="1" t="s">
        <v>86</v>
      </c>
      <c r="AJ188" s="7" t="s">
        <v>1050</v>
      </c>
      <c r="AL188" s="1" t="s">
        <v>328</v>
      </c>
      <c r="AM188" s="15" t="s">
        <v>509</v>
      </c>
      <c r="AN188" t="b">
        <f t="shared" si="1"/>
        <v>1</v>
      </c>
    </row>
    <row r="189" spans="1:40" ht="26.25">
      <c r="A189" s="1">
        <v>15</v>
      </c>
      <c r="B189" s="1" t="s">
        <v>17</v>
      </c>
      <c r="C189" s="2" t="s">
        <v>129</v>
      </c>
      <c r="D189" s="2">
        <v>23.420999999999999</v>
      </c>
      <c r="E189" s="8" t="s">
        <v>129</v>
      </c>
      <c r="F189" s="8" t="s">
        <v>203</v>
      </c>
      <c r="G189" s="1" t="s">
        <v>129</v>
      </c>
      <c r="H189" s="1"/>
      <c r="I189" s="1" t="s">
        <v>342</v>
      </c>
      <c r="J189" s="1">
        <v>15</v>
      </c>
      <c r="K189" s="1" t="str">
        <f>CONCATENATE(I189,J189)</f>
        <v>A15</v>
      </c>
      <c r="L189" s="1" t="s">
        <v>360</v>
      </c>
      <c r="M189" s="1">
        <v>209</v>
      </c>
      <c r="N189">
        <v>225</v>
      </c>
      <c r="O189" s="7" t="s">
        <v>369</v>
      </c>
      <c r="Q189" s="1" t="s">
        <v>17</v>
      </c>
      <c r="R189" s="15" t="s">
        <v>656</v>
      </c>
      <c r="T189" s="2" t="s">
        <v>129</v>
      </c>
      <c r="U189" s="2">
        <v>23.420999999999999</v>
      </c>
      <c r="V189" s="15" t="s">
        <v>991</v>
      </c>
      <c r="W189" s="18" t="e">
        <f>T189-U189</f>
        <v>#VALUE!</v>
      </c>
      <c r="X189" s="15"/>
      <c r="Y189" s="15"/>
      <c r="Z189" s="1" t="s">
        <v>129</v>
      </c>
      <c r="AA189" s="15"/>
      <c r="AB189" s="15"/>
      <c r="AC189" s="15"/>
      <c r="AD189" s="15"/>
      <c r="AE189" s="15"/>
      <c r="AF189" s="15"/>
      <c r="AG189" s="29"/>
      <c r="AH189" s="1" t="s">
        <v>86</v>
      </c>
      <c r="AJ189" s="7" t="s">
        <v>1050</v>
      </c>
      <c r="AL189" s="1" t="s">
        <v>17</v>
      </c>
      <c r="AM189" s="15" t="s">
        <v>656</v>
      </c>
      <c r="AN189" t="b">
        <f t="shared" si="1"/>
        <v>1</v>
      </c>
    </row>
    <row r="190" spans="1:40" ht="26.25">
      <c r="A190" s="1">
        <v>63</v>
      </c>
      <c r="B190" s="1" t="s">
        <v>61</v>
      </c>
      <c r="C190" s="2">
        <v>33.563000000000002</v>
      </c>
      <c r="D190" s="2">
        <v>21.814</v>
      </c>
      <c r="E190" s="8" t="s">
        <v>366</v>
      </c>
      <c r="F190" s="8" t="s">
        <v>203</v>
      </c>
      <c r="G190" s="1" t="s">
        <v>129</v>
      </c>
      <c r="H190" s="1"/>
      <c r="I190" s="1" t="s">
        <v>344</v>
      </c>
      <c r="J190" s="1">
        <v>15</v>
      </c>
      <c r="K190" s="1" t="str">
        <f>CONCATENATE(I190,J190)</f>
        <v>C15</v>
      </c>
      <c r="L190" s="1" t="s">
        <v>360</v>
      </c>
      <c r="M190" s="1">
        <v>211</v>
      </c>
      <c r="N190">
        <v>226</v>
      </c>
      <c r="O190" s="7" t="s">
        <v>369</v>
      </c>
      <c r="Q190" s="1" t="s">
        <v>61</v>
      </c>
      <c r="R190" s="15" t="s">
        <v>613</v>
      </c>
      <c r="T190" s="2">
        <v>33.563000000000002</v>
      </c>
      <c r="U190" s="2">
        <v>21.814</v>
      </c>
      <c r="V190" s="15" t="s">
        <v>948</v>
      </c>
      <c r="W190" s="18">
        <f>T190-U190</f>
        <v>11.749000000000002</v>
      </c>
      <c r="X190" s="15"/>
      <c r="Y190" s="15"/>
      <c r="Z190" s="1" t="s">
        <v>129</v>
      </c>
      <c r="AA190" s="15"/>
      <c r="AB190" s="15"/>
      <c r="AC190" s="15"/>
      <c r="AD190" s="15"/>
      <c r="AE190" s="15"/>
      <c r="AF190" s="15"/>
      <c r="AG190" s="29"/>
      <c r="AH190" s="1" t="s">
        <v>129</v>
      </c>
      <c r="AJ190" s="7" t="s">
        <v>1050</v>
      </c>
      <c r="AL190" s="1" t="s">
        <v>61</v>
      </c>
      <c r="AM190" s="15" t="s">
        <v>613</v>
      </c>
      <c r="AN190" t="b">
        <f t="shared" si="1"/>
        <v>1</v>
      </c>
    </row>
    <row r="191" spans="1:40" ht="26.25">
      <c r="A191" s="1">
        <v>111</v>
      </c>
      <c r="B191" s="1" t="s">
        <v>105</v>
      </c>
      <c r="C191" s="2" t="s">
        <v>129</v>
      </c>
      <c r="D191" s="2">
        <v>22.731999999999999</v>
      </c>
      <c r="E191" s="8" t="s">
        <v>129</v>
      </c>
      <c r="F191" s="8" t="s">
        <v>203</v>
      </c>
      <c r="G191" s="1" t="s">
        <v>129</v>
      </c>
      <c r="H191" s="1"/>
      <c r="I191" s="1" t="s">
        <v>346</v>
      </c>
      <c r="J191" s="1">
        <v>15</v>
      </c>
      <c r="K191" s="1" t="str">
        <f>CONCATENATE(I191,J191)</f>
        <v>E15</v>
      </c>
      <c r="L191" s="1" t="s">
        <v>360</v>
      </c>
      <c r="M191" s="1">
        <v>213</v>
      </c>
      <c r="N191">
        <v>227</v>
      </c>
      <c r="O191" s="7" t="s">
        <v>369</v>
      </c>
      <c r="Q191" s="1" t="s">
        <v>105</v>
      </c>
      <c r="R191" s="15" t="s">
        <v>657</v>
      </c>
      <c r="T191" s="2" t="s">
        <v>129</v>
      </c>
      <c r="U191" s="2">
        <v>22.731999999999999</v>
      </c>
      <c r="V191" s="15" t="s">
        <v>992</v>
      </c>
      <c r="W191" s="18" t="e">
        <f>T191-U191</f>
        <v>#VALUE!</v>
      </c>
      <c r="X191" s="15"/>
      <c r="Y191" s="15"/>
      <c r="Z191" s="1" t="s">
        <v>129</v>
      </c>
      <c r="AA191" s="15"/>
      <c r="AB191" s="15"/>
      <c r="AC191" s="15"/>
      <c r="AD191" s="15"/>
      <c r="AE191" s="15"/>
      <c r="AF191" s="15"/>
      <c r="AG191" s="29"/>
      <c r="AH191" s="1" t="s">
        <v>129</v>
      </c>
      <c r="AJ191" s="7" t="s">
        <v>1050</v>
      </c>
      <c r="AL191" s="1" t="s">
        <v>105</v>
      </c>
      <c r="AM191" s="15" t="s">
        <v>657</v>
      </c>
      <c r="AN191" t="b">
        <f t="shared" si="1"/>
        <v>1</v>
      </c>
    </row>
    <row r="192" spans="1:40" ht="26.25">
      <c r="A192" s="1">
        <v>159</v>
      </c>
      <c r="B192" s="1" t="s">
        <v>148</v>
      </c>
      <c r="C192" s="2">
        <v>23.771999999999998</v>
      </c>
      <c r="D192" s="2">
        <v>23.626999999999999</v>
      </c>
      <c r="E192" s="8" t="s">
        <v>203</v>
      </c>
      <c r="F192" s="8" t="s">
        <v>203</v>
      </c>
      <c r="G192" s="1" t="s">
        <v>203</v>
      </c>
      <c r="H192" s="1"/>
      <c r="I192" s="1" t="s">
        <v>348</v>
      </c>
      <c r="J192" s="1">
        <v>15</v>
      </c>
      <c r="K192" s="1" t="str">
        <f>CONCATENATE(I192,J192)</f>
        <v>G15</v>
      </c>
      <c r="L192" s="1" t="s">
        <v>360</v>
      </c>
      <c r="M192" s="1">
        <v>215</v>
      </c>
      <c r="N192">
        <v>228</v>
      </c>
      <c r="O192" s="7" t="s">
        <v>369</v>
      </c>
      <c r="Q192" s="1" t="s">
        <v>148</v>
      </c>
      <c r="R192" s="15" t="s">
        <v>510</v>
      </c>
      <c r="T192" s="2">
        <v>23.771999999999998</v>
      </c>
      <c r="U192" s="2">
        <v>23.626999999999999</v>
      </c>
      <c r="V192" s="15" t="s">
        <v>844</v>
      </c>
      <c r="W192" s="18">
        <f>T192-U192</f>
        <v>0.14499999999999957</v>
      </c>
      <c r="X192" s="30">
        <v>602.76</v>
      </c>
      <c r="Y192" s="30">
        <f>(X192-122)/3</f>
        <v>160.25333333333333</v>
      </c>
      <c r="Z192" s="1" t="s">
        <v>203</v>
      </c>
      <c r="AA192" s="15"/>
      <c r="AB192" s="15"/>
      <c r="AC192" s="15"/>
      <c r="AD192" s="15"/>
      <c r="AE192" s="15">
        <v>3181</v>
      </c>
      <c r="AF192" s="15"/>
      <c r="AG192" s="29"/>
      <c r="AH192" s="1" t="s">
        <v>86</v>
      </c>
      <c r="AJ192" s="7" t="s">
        <v>1050</v>
      </c>
      <c r="AL192" s="1" t="s">
        <v>148</v>
      </c>
      <c r="AM192" s="15" t="s">
        <v>510</v>
      </c>
      <c r="AN192" t="b">
        <f t="shared" si="1"/>
        <v>1</v>
      </c>
    </row>
    <row r="193" spans="1:40" ht="26.25">
      <c r="A193" s="1">
        <v>207</v>
      </c>
      <c r="B193" s="1" t="s">
        <v>191</v>
      </c>
      <c r="C193" s="2">
        <v>35.523000000000003</v>
      </c>
      <c r="D193" s="2">
        <v>23.33</v>
      </c>
      <c r="E193" s="8" t="s">
        <v>366</v>
      </c>
      <c r="F193" s="8" t="s">
        <v>203</v>
      </c>
      <c r="G193" s="1" t="s">
        <v>129</v>
      </c>
      <c r="H193" s="1"/>
      <c r="I193" s="1" t="s">
        <v>350</v>
      </c>
      <c r="J193" s="1">
        <v>15</v>
      </c>
      <c r="K193" s="1" t="str">
        <f>CONCATENATE(I193,J193)</f>
        <v>I15</v>
      </c>
      <c r="L193" s="1" t="s">
        <v>361</v>
      </c>
      <c r="M193" s="1">
        <v>305</v>
      </c>
      <c r="N193">
        <v>229</v>
      </c>
      <c r="O193" s="7" t="s">
        <v>369</v>
      </c>
      <c r="Q193" s="1" t="s">
        <v>191</v>
      </c>
      <c r="R193" s="15" t="s">
        <v>614</v>
      </c>
      <c r="T193" s="2">
        <v>35.523000000000003</v>
      </c>
      <c r="U193" s="2">
        <v>23.33</v>
      </c>
      <c r="V193" s="15" t="s">
        <v>949</v>
      </c>
      <c r="W193" s="18">
        <f>T193-U193</f>
        <v>12.193000000000005</v>
      </c>
      <c r="X193" s="15"/>
      <c r="Y193" s="15"/>
      <c r="Z193" s="1" t="s">
        <v>129</v>
      </c>
      <c r="AA193" s="15"/>
      <c r="AB193" s="15"/>
      <c r="AC193" s="15"/>
      <c r="AD193" s="15"/>
      <c r="AE193" s="15"/>
      <c r="AF193" s="15"/>
      <c r="AG193" s="29"/>
      <c r="AH193" s="1" t="s">
        <v>86</v>
      </c>
      <c r="AJ193" s="7" t="s">
        <v>1050</v>
      </c>
      <c r="AL193" s="1" t="s">
        <v>191</v>
      </c>
      <c r="AM193" s="15" t="s">
        <v>614</v>
      </c>
      <c r="AN193" t="b">
        <f t="shared" si="1"/>
        <v>1</v>
      </c>
    </row>
    <row r="194" spans="1:40" ht="26.25">
      <c r="A194" s="1">
        <v>255</v>
      </c>
      <c r="B194" s="1" t="s">
        <v>232</v>
      </c>
      <c r="C194" s="2">
        <v>33.636000000000003</v>
      </c>
      <c r="D194" s="2">
        <v>22.853000000000002</v>
      </c>
      <c r="E194" s="8" t="s">
        <v>366</v>
      </c>
      <c r="F194" s="8" t="s">
        <v>203</v>
      </c>
      <c r="G194" s="1" t="s">
        <v>129</v>
      </c>
      <c r="H194" s="1"/>
      <c r="I194" s="1" t="s">
        <v>352</v>
      </c>
      <c r="J194" s="1">
        <v>15</v>
      </c>
      <c r="K194" s="1" t="str">
        <f>CONCATENATE(I194,J194)</f>
        <v>K15</v>
      </c>
      <c r="L194" s="1" t="s">
        <v>361</v>
      </c>
      <c r="M194" s="1">
        <v>307</v>
      </c>
      <c r="N194">
        <v>230</v>
      </c>
      <c r="O194" s="7" t="s">
        <v>369</v>
      </c>
      <c r="Q194" s="1" t="s">
        <v>232</v>
      </c>
      <c r="R194" s="15" t="s">
        <v>615</v>
      </c>
      <c r="T194" s="2">
        <v>33.636000000000003</v>
      </c>
      <c r="U194" s="2">
        <v>22.853000000000002</v>
      </c>
      <c r="V194" s="15" t="s">
        <v>950</v>
      </c>
      <c r="W194" s="18">
        <f>T194-U194</f>
        <v>10.783000000000001</v>
      </c>
      <c r="X194" s="15"/>
      <c r="Y194" s="15"/>
      <c r="Z194" s="1" t="s">
        <v>129</v>
      </c>
      <c r="AA194" s="15"/>
      <c r="AB194" s="15"/>
      <c r="AC194" s="15"/>
      <c r="AD194" s="15"/>
      <c r="AE194" s="15"/>
      <c r="AF194" s="15"/>
      <c r="AG194" s="29"/>
      <c r="AH194" s="1" t="s">
        <v>86</v>
      </c>
      <c r="AJ194" s="7" t="s">
        <v>1050</v>
      </c>
      <c r="AL194" s="1" t="s">
        <v>232</v>
      </c>
      <c r="AM194" s="15" t="s">
        <v>615</v>
      </c>
      <c r="AN194" t="b">
        <f t="shared" si="1"/>
        <v>1</v>
      </c>
    </row>
    <row r="195" spans="1:40" ht="26.25">
      <c r="A195" s="1">
        <v>303</v>
      </c>
      <c r="B195" s="1" t="s">
        <v>272</v>
      </c>
      <c r="C195" s="2">
        <v>22.253</v>
      </c>
      <c r="D195" s="2">
        <v>21.978999999999999</v>
      </c>
      <c r="E195" s="8" t="s">
        <v>203</v>
      </c>
      <c r="F195" s="8" t="s">
        <v>203</v>
      </c>
      <c r="G195" s="1" t="s">
        <v>203</v>
      </c>
      <c r="H195" s="1"/>
      <c r="I195" s="1" t="s">
        <v>353</v>
      </c>
      <c r="J195" s="1">
        <v>15</v>
      </c>
      <c r="K195" s="1" t="str">
        <f>CONCATENATE(I195,J195)</f>
        <v>M15</v>
      </c>
      <c r="L195" s="1" t="s">
        <v>361</v>
      </c>
      <c r="M195" s="1">
        <v>309</v>
      </c>
      <c r="N195">
        <v>231</v>
      </c>
      <c r="O195" s="7" t="s">
        <v>369</v>
      </c>
      <c r="Q195" s="1" t="s">
        <v>272</v>
      </c>
      <c r="R195" s="15" t="s">
        <v>511</v>
      </c>
      <c r="T195" s="2">
        <v>22.253</v>
      </c>
      <c r="U195" s="2">
        <v>21.978999999999999</v>
      </c>
      <c r="V195" s="15" t="s">
        <v>845</v>
      </c>
      <c r="W195" s="18">
        <f>T195-U195</f>
        <v>0.27400000000000091</v>
      </c>
      <c r="X195" s="30">
        <v>605.44000000000005</v>
      </c>
      <c r="Y195" s="30">
        <f>(X195-122)/3</f>
        <v>161.14666666666668</v>
      </c>
      <c r="Z195" s="1" t="s">
        <v>203</v>
      </c>
      <c r="AA195" s="15"/>
      <c r="AB195" s="15"/>
      <c r="AC195" s="15"/>
      <c r="AD195" s="15"/>
      <c r="AE195" s="15">
        <v>4034</v>
      </c>
      <c r="AF195" s="15"/>
      <c r="AG195" s="29"/>
      <c r="AH195" s="1" t="s">
        <v>86</v>
      </c>
      <c r="AJ195" s="7" t="s">
        <v>1050</v>
      </c>
      <c r="AL195" s="1" t="s">
        <v>272</v>
      </c>
      <c r="AM195" s="15" t="s">
        <v>511</v>
      </c>
      <c r="AN195" t="b">
        <f>R195=AM195</f>
        <v>1</v>
      </c>
    </row>
    <row r="196" spans="1:40" ht="26.25">
      <c r="A196" s="1">
        <v>351</v>
      </c>
      <c r="B196" s="1" t="s">
        <v>311</v>
      </c>
      <c r="C196" s="2" t="s">
        <v>129</v>
      </c>
      <c r="D196" s="2">
        <v>22.146999999999998</v>
      </c>
      <c r="E196" s="8" t="s">
        <v>129</v>
      </c>
      <c r="F196" s="8" t="s">
        <v>203</v>
      </c>
      <c r="G196" s="1" t="s">
        <v>129</v>
      </c>
      <c r="H196" s="1"/>
      <c r="I196" s="1" t="s">
        <v>354</v>
      </c>
      <c r="J196" s="1">
        <v>15</v>
      </c>
      <c r="K196" s="1" t="str">
        <f>CONCATENATE(I196,J196)</f>
        <v>O15</v>
      </c>
      <c r="L196" s="1" t="s">
        <v>361</v>
      </c>
      <c r="M196" s="1">
        <v>311</v>
      </c>
      <c r="N196">
        <v>232</v>
      </c>
      <c r="O196" s="7" t="s">
        <v>369</v>
      </c>
      <c r="Q196" s="1" t="s">
        <v>311</v>
      </c>
      <c r="R196" s="15" t="s">
        <v>658</v>
      </c>
      <c r="T196" s="2" t="s">
        <v>129</v>
      </c>
      <c r="U196" s="2">
        <v>22.146999999999998</v>
      </c>
      <c r="V196" s="15" t="s">
        <v>993</v>
      </c>
      <c r="W196" s="18" t="e">
        <f>T196-U196</f>
        <v>#VALUE!</v>
      </c>
      <c r="X196" s="15"/>
      <c r="Y196" s="15"/>
      <c r="Z196" s="1" t="s">
        <v>129</v>
      </c>
      <c r="AA196" s="15"/>
      <c r="AB196" s="15"/>
      <c r="AC196" s="15"/>
      <c r="AD196" s="15"/>
      <c r="AE196" s="15"/>
      <c r="AF196" s="15"/>
      <c r="AG196" s="29"/>
      <c r="AH196" s="1" t="s">
        <v>129</v>
      </c>
      <c r="AJ196" s="7" t="s">
        <v>1050</v>
      </c>
      <c r="AL196" s="1" t="s">
        <v>311</v>
      </c>
      <c r="AM196" s="15" t="s">
        <v>658</v>
      </c>
      <c r="AN196" t="b">
        <f>R196=AM196</f>
        <v>1</v>
      </c>
    </row>
    <row r="197" spans="1:40" ht="26.25">
      <c r="A197" s="1">
        <v>39</v>
      </c>
      <c r="B197" s="1" t="s">
        <v>39</v>
      </c>
      <c r="C197" s="2" t="s">
        <v>129</v>
      </c>
      <c r="D197" s="2">
        <v>23.538</v>
      </c>
      <c r="E197" s="8" t="s">
        <v>129</v>
      </c>
      <c r="F197" s="8" t="s">
        <v>203</v>
      </c>
      <c r="G197" s="1" t="s">
        <v>129</v>
      </c>
      <c r="H197" s="1"/>
      <c r="I197" s="1" t="s">
        <v>343</v>
      </c>
      <c r="J197" s="1">
        <v>15</v>
      </c>
      <c r="K197" s="1" t="str">
        <f>CONCATENATE(I197,J197)</f>
        <v>B15</v>
      </c>
      <c r="L197" s="1" t="s">
        <v>360</v>
      </c>
      <c r="M197" s="1">
        <v>210</v>
      </c>
      <c r="N197">
        <v>233</v>
      </c>
      <c r="O197" s="7" t="s">
        <v>369</v>
      </c>
      <c r="Q197" s="1" t="s">
        <v>39</v>
      </c>
      <c r="R197" s="15" t="s">
        <v>659</v>
      </c>
      <c r="T197" s="2" t="s">
        <v>129</v>
      </c>
      <c r="U197" s="2">
        <v>23.538</v>
      </c>
      <c r="V197" s="15" t="s">
        <v>994</v>
      </c>
      <c r="W197" s="18" t="e">
        <f>T197-U197</f>
        <v>#VALUE!</v>
      </c>
      <c r="X197" s="15"/>
      <c r="Y197" s="15"/>
      <c r="Z197" s="1" t="s">
        <v>129</v>
      </c>
      <c r="AA197" s="15"/>
      <c r="AB197" s="15"/>
      <c r="AC197" s="15"/>
      <c r="AD197" s="15"/>
      <c r="AE197" s="15"/>
      <c r="AF197" s="15"/>
      <c r="AG197" s="29"/>
      <c r="AH197" s="1" t="s">
        <v>129</v>
      </c>
      <c r="AJ197" s="7" t="s">
        <v>1050</v>
      </c>
      <c r="AL197" s="1" t="s">
        <v>39</v>
      </c>
      <c r="AM197" s="15" t="s">
        <v>659</v>
      </c>
      <c r="AN197" t="b">
        <f>R197=AM197</f>
        <v>1</v>
      </c>
    </row>
    <row r="198" spans="1:40" ht="26.25">
      <c r="A198" s="1">
        <v>87</v>
      </c>
      <c r="B198" s="1" t="s">
        <v>83</v>
      </c>
      <c r="C198" s="2">
        <v>24.427</v>
      </c>
      <c r="D198" s="2">
        <v>24.085999999999999</v>
      </c>
      <c r="E198" s="8" t="s">
        <v>203</v>
      </c>
      <c r="F198" s="8" t="s">
        <v>203</v>
      </c>
      <c r="G198" s="1" t="s">
        <v>203</v>
      </c>
      <c r="H198" s="1"/>
      <c r="I198" s="1" t="s">
        <v>345</v>
      </c>
      <c r="J198" s="1">
        <v>15</v>
      </c>
      <c r="K198" s="1" t="str">
        <f>CONCATENATE(I198,J198)</f>
        <v>D15</v>
      </c>
      <c r="L198" s="1" t="s">
        <v>360</v>
      </c>
      <c r="M198" s="1">
        <v>212</v>
      </c>
      <c r="N198">
        <v>234</v>
      </c>
      <c r="O198" s="7" t="s">
        <v>369</v>
      </c>
      <c r="Q198" s="1" t="s">
        <v>83</v>
      </c>
      <c r="R198" s="15" t="s">
        <v>512</v>
      </c>
      <c r="T198" s="2">
        <v>24.427</v>
      </c>
      <c r="U198" s="2">
        <v>24.085999999999999</v>
      </c>
      <c r="V198" s="15" t="s">
        <v>846</v>
      </c>
      <c r="W198" s="18">
        <f>T198-U198</f>
        <v>0.34100000000000108</v>
      </c>
      <c r="X198" s="30">
        <v>597.01</v>
      </c>
      <c r="Y198" s="30">
        <f>(X198-122)/3</f>
        <v>158.33666666666667</v>
      </c>
      <c r="Z198" s="1" t="s">
        <v>203</v>
      </c>
      <c r="AA198" s="15"/>
      <c r="AB198" s="15"/>
      <c r="AC198" s="15"/>
      <c r="AD198" s="15"/>
      <c r="AE198" s="15">
        <v>2582</v>
      </c>
      <c r="AF198" s="15"/>
      <c r="AG198" s="29"/>
      <c r="AH198" s="1" t="s">
        <v>129</v>
      </c>
      <c r="AJ198" s="7" t="s">
        <v>1050</v>
      </c>
      <c r="AL198" s="1" t="s">
        <v>83</v>
      </c>
      <c r="AM198" s="15" t="s">
        <v>512</v>
      </c>
      <c r="AN198" t="b">
        <f>R198=AM198</f>
        <v>1</v>
      </c>
    </row>
    <row r="199" spans="1:40" ht="26.25">
      <c r="A199" s="1">
        <v>135</v>
      </c>
      <c r="B199" s="1" t="s">
        <v>126</v>
      </c>
      <c r="C199" s="2">
        <v>33.899000000000001</v>
      </c>
      <c r="D199" s="2">
        <v>23.975000000000001</v>
      </c>
      <c r="E199" s="8" t="s">
        <v>366</v>
      </c>
      <c r="F199" s="8" t="s">
        <v>203</v>
      </c>
      <c r="G199" s="1" t="s">
        <v>129</v>
      </c>
      <c r="H199" s="1"/>
      <c r="I199" s="1" t="s">
        <v>347</v>
      </c>
      <c r="J199" s="1">
        <v>15</v>
      </c>
      <c r="K199" s="1" t="str">
        <f>CONCATENATE(I199,J199)</f>
        <v>F15</v>
      </c>
      <c r="L199" s="1" t="s">
        <v>360</v>
      </c>
      <c r="M199" s="1">
        <v>214</v>
      </c>
      <c r="N199">
        <v>235</v>
      </c>
      <c r="O199" s="7" t="s">
        <v>369</v>
      </c>
      <c r="Q199" s="1" t="s">
        <v>126</v>
      </c>
      <c r="R199" s="15" t="s">
        <v>616</v>
      </c>
      <c r="T199" s="2">
        <v>33.899000000000001</v>
      </c>
      <c r="U199" s="2">
        <v>23.975000000000001</v>
      </c>
      <c r="V199" s="15" t="s">
        <v>951</v>
      </c>
      <c r="W199" s="18">
        <f>T199-U199</f>
        <v>9.9239999999999995</v>
      </c>
      <c r="X199" s="15"/>
      <c r="Y199" s="15"/>
      <c r="Z199" s="1" t="s">
        <v>129</v>
      </c>
      <c r="AA199" s="15"/>
      <c r="AB199" s="15"/>
      <c r="AC199" s="15"/>
      <c r="AD199" s="15"/>
      <c r="AE199" s="15"/>
      <c r="AF199" s="15"/>
      <c r="AG199" s="29"/>
      <c r="AH199" s="1" t="s">
        <v>86</v>
      </c>
      <c r="AJ199" s="7" t="s">
        <v>1050</v>
      </c>
      <c r="AL199" s="1" t="s">
        <v>126</v>
      </c>
      <c r="AM199" s="15" t="s">
        <v>616</v>
      </c>
      <c r="AN199" t="b">
        <f>R199=AM199</f>
        <v>1</v>
      </c>
    </row>
    <row r="200" spans="1:40" ht="26.25">
      <c r="A200" s="1">
        <v>183</v>
      </c>
      <c r="B200" s="1" t="s">
        <v>169</v>
      </c>
      <c r="C200" s="2">
        <v>32.381</v>
      </c>
      <c r="D200" s="2">
        <v>23.704999999999998</v>
      </c>
      <c r="E200" s="8" t="s">
        <v>366</v>
      </c>
      <c r="F200" s="8" t="s">
        <v>203</v>
      </c>
      <c r="G200" s="1" t="s">
        <v>129</v>
      </c>
      <c r="H200" s="1"/>
      <c r="I200" s="1" t="s">
        <v>349</v>
      </c>
      <c r="J200" s="1">
        <v>15</v>
      </c>
      <c r="K200" s="1" t="str">
        <f>CONCATENATE(I200,J200)</f>
        <v>H15</v>
      </c>
      <c r="L200" s="1" t="s">
        <v>360</v>
      </c>
      <c r="M200" s="1">
        <v>216</v>
      </c>
      <c r="N200">
        <v>236</v>
      </c>
      <c r="O200" s="7" t="s">
        <v>369</v>
      </c>
      <c r="Q200" s="1" t="s">
        <v>169</v>
      </c>
      <c r="R200" s="15" t="s">
        <v>617</v>
      </c>
      <c r="T200" s="2">
        <v>32.381</v>
      </c>
      <c r="U200" s="2">
        <v>23.704999999999998</v>
      </c>
      <c r="V200" s="15" t="s">
        <v>952</v>
      </c>
      <c r="W200" s="18">
        <f>T200-U200</f>
        <v>8.6760000000000019</v>
      </c>
      <c r="X200" s="15"/>
      <c r="Y200" s="15"/>
      <c r="Z200" s="1" t="s">
        <v>129</v>
      </c>
      <c r="AA200" s="15"/>
      <c r="AB200" s="15"/>
      <c r="AC200" s="15"/>
      <c r="AD200" s="15"/>
      <c r="AE200" s="15"/>
      <c r="AF200" s="15"/>
      <c r="AG200" s="29"/>
      <c r="AH200" s="1" t="s">
        <v>129</v>
      </c>
      <c r="AJ200" s="7" t="s">
        <v>1050</v>
      </c>
      <c r="AL200" s="1" t="s">
        <v>169</v>
      </c>
      <c r="AM200" s="15" t="s">
        <v>617</v>
      </c>
      <c r="AN200" t="b">
        <f>R200=AM200</f>
        <v>1</v>
      </c>
    </row>
    <row r="201" spans="1:40" ht="26.25">
      <c r="A201" s="1">
        <v>231</v>
      </c>
      <c r="B201" s="1" t="s">
        <v>211</v>
      </c>
      <c r="C201" s="2" t="s">
        <v>129</v>
      </c>
      <c r="D201" s="2">
        <v>25.192</v>
      </c>
      <c r="E201" s="8" t="s">
        <v>129</v>
      </c>
      <c r="F201" s="8" t="s">
        <v>203</v>
      </c>
      <c r="G201" s="1" t="s">
        <v>129</v>
      </c>
      <c r="H201" s="1"/>
      <c r="I201" s="1" t="s">
        <v>351</v>
      </c>
      <c r="J201" s="1">
        <v>15</v>
      </c>
      <c r="K201" s="1" t="str">
        <f>CONCATENATE(I201,J201)</f>
        <v>J15</v>
      </c>
      <c r="L201" s="1" t="s">
        <v>361</v>
      </c>
      <c r="M201" s="1">
        <v>306</v>
      </c>
      <c r="N201">
        <v>237</v>
      </c>
      <c r="O201" s="7" t="s">
        <v>369</v>
      </c>
      <c r="Q201" s="1" t="s">
        <v>211</v>
      </c>
      <c r="R201" s="15" t="s">
        <v>660</v>
      </c>
      <c r="T201" s="2" t="s">
        <v>129</v>
      </c>
      <c r="U201" s="2">
        <v>25.192</v>
      </c>
      <c r="V201" s="15" t="s">
        <v>995</v>
      </c>
      <c r="W201" s="18" t="e">
        <f>T201-U201</f>
        <v>#VALUE!</v>
      </c>
      <c r="X201" s="15"/>
      <c r="Y201" s="15"/>
      <c r="Z201" s="1" t="s">
        <v>129</v>
      </c>
      <c r="AA201" s="15"/>
      <c r="AB201" s="15"/>
      <c r="AC201" s="15"/>
      <c r="AD201" s="15"/>
      <c r="AE201" s="15"/>
      <c r="AF201" s="15"/>
      <c r="AG201" s="29"/>
      <c r="AH201" s="1" t="s">
        <v>129</v>
      </c>
      <c r="AJ201" s="7" t="s">
        <v>1050</v>
      </c>
      <c r="AL201" s="1" t="s">
        <v>211</v>
      </c>
      <c r="AM201" s="15" t="s">
        <v>660</v>
      </c>
      <c r="AN201" t="b">
        <f>R201=AM201</f>
        <v>1</v>
      </c>
    </row>
    <row r="202" spans="1:40" ht="26.25">
      <c r="A202" s="1">
        <v>279</v>
      </c>
      <c r="B202" s="1" t="s">
        <v>251</v>
      </c>
      <c r="C202" s="2" t="s">
        <v>129</v>
      </c>
      <c r="D202" s="2">
        <v>23.593</v>
      </c>
      <c r="E202" s="8" t="s">
        <v>129</v>
      </c>
      <c r="F202" s="8" t="s">
        <v>203</v>
      </c>
      <c r="G202" s="1" t="s">
        <v>129</v>
      </c>
      <c r="H202" s="1"/>
      <c r="I202" s="1" t="s">
        <v>357</v>
      </c>
      <c r="J202" s="1">
        <v>15</v>
      </c>
      <c r="K202" s="1" t="str">
        <f>CONCATENATE(I202,J202)</f>
        <v>L15</v>
      </c>
      <c r="L202" s="1" t="s">
        <v>361</v>
      </c>
      <c r="M202" s="1">
        <v>308</v>
      </c>
      <c r="N202">
        <v>238</v>
      </c>
      <c r="O202" s="7" t="s">
        <v>369</v>
      </c>
      <c r="Q202" s="1" t="s">
        <v>251</v>
      </c>
      <c r="R202" s="15" t="s">
        <v>661</v>
      </c>
      <c r="T202" s="2" t="s">
        <v>129</v>
      </c>
      <c r="U202" s="2">
        <v>23.593</v>
      </c>
      <c r="V202" s="15" t="s">
        <v>996</v>
      </c>
      <c r="W202" s="18" t="e">
        <f>T202-U202</f>
        <v>#VALUE!</v>
      </c>
      <c r="X202" s="15"/>
      <c r="Y202" s="15"/>
      <c r="Z202" s="1" t="s">
        <v>129</v>
      </c>
      <c r="AA202" s="15"/>
      <c r="AB202" s="15"/>
      <c r="AC202" s="15"/>
      <c r="AD202" s="15"/>
      <c r="AE202" s="15"/>
      <c r="AF202" s="15"/>
      <c r="AG202" s="29"/>
      <c r="AH202" s="1" t="s">
        <v>129</v>
      </c>
      <c r="AJ202" s="7" t="s">
        <v>1050</v>
      </c>
      <c r="AL202" s="1" t="s">
        <v>251</v>
      </c>
      <c r="AM202" s="15" t="s">
        <v>661</v>
      </c>
      <c r="AN202" t="b">
        <f>R202=AM202</f>
        <v>1</v>
      </c>
    </row>
    <row r="203" spans="1:40" ht="26.25">
      <c r="A203" s="1">
        <v>327</v>
      </c>
      <c r="B203" s="1" t="s">
        <v>290</v>
      </c>
      <c r="C203" s="2" t="s">
        <v>129</v>
      </c>
      <c r="D203" s="2">
        <v>23.449000000000002</v>
      </c>
      <c r="E203" s="8" t="s">
        <v>129</v>
      </c>
      <c r="F203" s="8" t="s">
        <v>203</v>
      </c>
      <c r="G203" s="1" t="s">
        <v>129</v>
      </c>
      <c r="H203" s="1"/>
      <c r="I203" s="1" t="s">
        <v>4</v>
      </c>
      <c r="J203" s="1">
        <v>15</v>
      </c>
      <c r="K203" s="1" t="str">
        <f>CONCATENATE(I203,J203)</f>
        <v>N15</v>
      </c>
      <c r="L203" s="1" t="s">
        <v>361</v>
      </c>
      <c r="M203" s="1">
        <v>310</v>
      </c>
      <c r="N203">
        <v>239</v>
      </c>
      <c r="O203" s="7" t="s">
        <v>369</v>
      </c>
      <c r="Q203" s="1" t="s">
        <v>290</v>
      </c>
      <c r="R203" s="15" t="s">
        <v>662</v>
      </c>
      <c r="T203" s="2" t="s">
        <v>129</v>
      </c>
      <c r="U203" s="2">
        <v>23.449000000000002</v>
      </c>
      <c r="V203" s="15" t="s">
        <v>997</v>
      </c>
      <c r="W203" s="18" t="e">
        <f>T203-U203</f>
        <v>#VALUE!</v>
      </c>
      <c r="X203" s="15"/>
      <c r="Y203" s="15"/>
      <c r="Z203" s="1" t="s">
        <v>129</v>
      </c>
      <c r="AA203" s="15"/>
      <c r="AB203" s="15"/>
      <c r="AC203" s="15"/>
      <c r="AD203" s="15"/>
      <c r="AE203" s="15"/>
      <c r="AF203" s="15"/>
      <c r="AG203" s="29"/>
      <c r="AH203" s="1" t="s">
        <v>86</v>
      </c>
      <c r="AJ203" s="7" t="s">
        <v>1050</v>
      </c>
      <c r="AL203" s="1" t="s">
        <v>290</v>
      </c>
      <c r="AM203" s="15" t="s">
        <v>662</v>
      </c>
      <c r="AN203" t="b">
        <f>R203=AM203</f>
        <v>1</v>
      </c>
    </row>
    <row r="204" spans="1:40" ht="26.25">
      <c r="A204" s="1">
        <v>375</v>
      </c>
      <c r="B204" s="1" t="s">
        <v>329</v>
      </c>
      <c r="C204" s="2" t="s">
        <v>129</v>
      </c>
      <c r="D204" s="2">
        <v>22.742999999999999</v>
      </c>
      <c r="E204" s="8" t="s">
        <v>129</v>
      </c>
      <c r="F204" s="8" t="s">
        <v>203</v>
      </c>
      <c r="G204" s="1" t="s">
        <v>129</v>
      </c>
      <c r="H204" s="1"/>
      <c r="I204" s="1" t="s">
        <v>355</v>
      </c>
      <c r="J204" s="1">
        <v>15</v>
      </c>
      <c r="K204" s="1" t="str">
        <f>CONCATENATE(I204,J204)</f>
        <v>P15</v>
      </c>
      <c r="L204" s="1" t="s">
        <v>361</v>
      </c>
      <c r="M204" s="1">
        <v>312</v>
      </c>
      <c r="N204">
        <v>240</v>
      </c>
      <c r="O204" s="7" t="s">
        <v>369</v>
      </c>
      <c r="Q204" s="1" t="s">
        <v>329</v>
      </c>
      <c r="R204" s="15" t="s">
        <v>663</v>
      </c>
      <c r="T204" s="2" t="s">
        <v>129</v>
      </c>
      <c r="U204" s="2">
        <v>22.742999999999999</v>
      </c>
      <c r="V204" s="15" t="s">
        <v>998</v>
      </c>
      <c r="W204" s="18" t="e">
        <f>T204-U204</f>
        <v>#VALUE!</v>
      </c>
      <c r="X204" s="15"/>
      <c r="Y204" s="15"/>
      <c r="Z204" s="1" t="s">
        <v>129</v>
      </c>
      <c r="AA204" s="15"/>
      <c r="AB204" s="15"/>
      <c r="AC204" s="15"/>
      <c r="AD204" s="15"/>
      <c r="AE204" s="15"/>
      <c r="AF204" s="15"/>
      <c r="AG204" s="29"/>
      <c r="AH204" s="1" t="s">
        <v>129</v>
      </c>
      <c r="AJ204" s="7" t="s">
        <v>1050</v>
      </c>
      <c r="AL204" s="1" t="s">
        <v>329</v>
      </c>
      <c r="AM204" s="15" t="s">
        <v>663</v>
      </c>
      <c r="AN204" t="b">
        <f>R204=AM204</f>
        <v>1</v>
      </c>
    </row>
    <row r="205" spans="1:40" ht="26.25">
      <c r="A205" s="1">
        <v>16</v>
      </c>
      <c r="B205" s="1" t="s">
        <v>18</v>
      </c>
      <c r="C205" s="2">
        <v>21.302</v>
      </c>
      <c r="D205" s="2">
        <v>20.998000000000001</v>
      </c>
      <c r="E205" s="8" t="s">
        <v>203</v>
      </c>
      <c r="F205" s="8" t="s">
        <v>203</v>
      </c>
      <c r="G205" s="1" t="s">
        <v>203</v>
      </c>
      <c r="H205" s="1"/>
      <c r="I205" s="1" t="s">
        <v>342</v>
      </c>
      <c r="J205" s="1">
        <v>16</v>
      </c>
      <c r="K205" s="1" t="str">
        <f>CONCATENATE(I205,J205)</f>
        <v>A16</v>
      </c>
      <c r="L205" s="1" t="s">
        <v>360</v>
      </c>
      <c r="M205" s="1">
        <v>217</v>
      </c>
      <c r="N205">
        <v>241</v>
      </c>
      <c r="O205" s="7" t="s">
        <v>369</v>
      </c>
      <c r="Q205" s="1" t="s">
        <v>18</v>
      </c>
      <c r="R205" s="15" t="s">
        <v>513</v>
      </c>
      <c r="T205" s="2">
        <v>21.302</v>
      </c>
      <c r="U205" s="2">
        <v>20.998000000000001</v>
      </c>
      <c r="V205" s="15" t="s">
        <v>847</v>
      </c>
      <c r="W205" s="18">
        <f>T205-U205</f>
        <v>0.30399999999999849</v>
      </c>
      <c r="X205" s="30">
        <v>573.79</v>
      </c>
      <c r="Y205" s="30">
        <f>(X205-122)/3</f>
        <v>150.59666666666666</v>
      </c>
      <c r="Z205" s="1" t="s">
        <v>203</v>
      </c>
      <c r="AA205" s="15"/>
      <c r="AB205" s="15"/>
      <c r="AC205" s="15"/>
      <c r="AD205" s="15"/>
      <c r="AE205" s="15">
        <v>5434</v>
      </c>
      <c r="AF205" s="15"/>
      <c r="AG205" s="29"/>
      <c r="AH205" s="1" t="s">
        <v>129</v>
      </c>
      <c r="AJ205" s="7" t="s">
        <v>1050</v>
      </c>
      <c r="AL205" s="1" t="s">
        <v>18</v>
      </c>
      <c r="AM205" s="15" t="s">
        <v>513</v>
      </c>
      <c r="AN205" t="b">
        <f>R205=AM205</f>
        <v>1</v>
      </c>
    </row>
    <row r="206" spans="1:40" ht="26.25">
      <c r="A206" s="1">
        <v>64</v>
      </c>
      <c r="B206" s="1" t="s">
        <v>62</v>
      </c>
      <c r="C206" s="2">
        <v>35.167000000000002</v>
      </c>
      <c r="D206" s="2">
        <v>22.913</v>
      </c>
      <c r="E206" s="8" t="s">
        <v>366</v>
      </c>
      <c r="F206" s="8" t="s">
        <v>203</v>
      </c>
      <c r="G206" s="1" t="s">
        <v>129</v>
      </c>
      <c r="H206" s="1"/>
      <c r="I206" s="1" t="s">
        <v>344</v>
      </c>
      <c r="J206" s="1">
        <v>16</v>
      </c>
      <c r="K206" s="1" t="str">
        <f>CONCATENATE(I206,J206)</f>
        <v>C16</v>
      </c>
      <c r="L206" s="1" t="s">
        <v>360</v>
      </c>
      <c r="M206" s="1">
        <v>219</v>
      </c>
      <c r="N206">
        <v>242</v>
      </c>
      <c r="O206" s="7" t="s">
        <v>369</v>
      </c>
      <c r="Q206" s="1" t="s">
        <v>62</v>
      </c>
      <c r="R206" s="15" t="s">
        <v>618</v>
      </c>
      <c r="T206" s="2">
        <v>35.167000000000002</v>
      </c>
      <c r="U206" s="2">
        <v>22.913</v>
      </c>
      <c r="V206" s="15" t="s">
        <v>953</v>
      </c>
      <c r="W206" s="18">
        <f>T206-U206</f>
        <v>12.254000000000001</v>
      </c>
      <c r="X206" s="15"/>
      <c r="Y206" s="15"/>
      <c r="Z206" s="1" t="s">
        <v>129</v>
      </c>
      <c r="AA206" s="15"/>
      <c r="AB206" s="15"/>
      <c r="AC206" s="15"/>
      <c r="AD206" s="15"/>
      <c r="AE206" s="15"/>
      <c r="AF206" s="15"/>
      <c r="AG206" s="29"/>
      <c r="AH206" s="1" t="s">
        <v>86</v>
      </c>
      <c r="AJ206" s="7" t="s">
        <v>1050</v>
      </c>
      <c r="AL206" s="1" t="s">
        <v>62</v>
      </c>
      <c r="AM206" s="15" t="s">
        <v>618</v>
      </c>
      <c r="AN206" t="b">
        <f>R206=AM206</f>
        <v>1</v>
      </c>
    </row>
    <row r="207" spans="1:40" ht="26.25">
      <c r="A207" s="1">
        <v>112</v>
      </c>
      <c r="B207" s="1" t="s">
        <v>106</v>
      </c>
      <c r="C207" s="2">
        <v>35.115000000000002</v>
      </c>
      <c r="D207" s="2">
        <v>23.317</v>
      </c>
      <c r="E207" s="8" t="s">
        <v>366</v>
      </c>
      <c r="F207" s="8" t="s">
        <v>203</v>
      </c>
      <c r="G207" s="1" t="s">
        <v>129</v>
      </c>
      <c r="H207" s="1"/>
      <c r="I207" s="1" t="s">
        <v>346</v>
      </c>
      <c r="J207" s="1">
        <v>16</v>
      </c>
      <c r="K207" s="1" t="str">
        <f>CONCATENATE(I207,J207)</f>
        <v>E16</v>
      </c>
      <c r="L207" s="1" t="s">
        <v>360</v>
      </c>
      <c r="M207" s="1">
        <v>221</v>
      </c>
      <c r="N207">
        <v>243</v>
      </c>
      <c r="O207" s="7" t="s">
        <v>369</v>
      </c>
      <c r="Q207" s="1" t="s">
        <v>106</v>
      </c>
      <c r="R207" s="15" t="s">
        <v>619</v>
      </c>
      <c r="T207" s="2">
        <v>35.115000000000002</v>
      </c>
      <c r="U207" s="2">
        <v>23.317</v>
      </c>
      <c r="V207" s="15" t="s">
        <v>954</v>
      </c>
      <c r="W207" s="18">
        <f>T207-U207</f>
        <v>11.798000000000002</v>
      </c>
      <c r="X207" s="15"/>
      <c r="Y207" s="15"/>
      <c r="Z207" s="1" t="s">
        <v>129</v>
      </c>
      <c r="AA207" s="15"/>
      <c r="AB207" s="15"/>
      <c r="AC207" s="15"/>
      <c r="AD207" s="15"/>
      <c r="AE207" s="15"/>
      <c r="AF207" s="15"/>
      <c r="AG207" s="29"/>
      <c r="AH207" s="1" t="s">
        <v>129</v>
      </c>
      <c r="AJ207" s="7" t="s">
        <v>1050</v>
      </c>
      <c r="AL207" s="1" t="s">
        <v>106</v>
      </c>
      <c r="AM207" s="15" t="s">
        <v>619</v>
      </c>
      <c r="AN207" t="b">
        <f>R207=AM207</f>
        <v>1</v>
      </c>
    </row>
    <row r="208" spans="1:40" ht="26.25">
      <c r="A208" s="1">
        <v>160</v>
      </c>
      <c r="B208" s="1" t="s">
        <v>149</v>
      </c>
      <c r="C208" s="2">
        <v>35.024999999999999</v>
      </c>
      <c r="D208" s="2">
        <v>20.545000000000002</v>
      </c>
      <c r="E208" s="8" t="s">
        <v>366</v>
      </c>
      <c r="F208" s="8" t="s">
        <v>203</v>
      </c>
      <c r="G208" s="1" t="s">
        <v>129</v>
      </c>
      <c r="H208" s="1"/>
      <c r="I208" s="1" t="s">
        <v>348</v>
      </c>
      <c r="J208" s="1">
        <v>16</v>
      </c>
      <c r="K208" s="1" t="str">
        <f>CONCATENATE(I208,J208)</f>
        <v>G16</v>
      </c>
      <c r="L208" s="1" t="s">
        <v>360</v>
      </c>
      <c r="M208" s="1">
        <v>223</v>
      </c>
      <c r="N208">
        <v>244</v>
      </c>
      <c r="O208" s="7" t="s">
        <v>369</v>
      </c>
      <c r="Q208" s="1" t="s">
        <v>149</v>
      </c>
      <c r="R208" s="15" t="s">
        <v>620</v>
      </c>
      <c r="T208" s="2">
        <v>35.024999999999999</v>
      </c>
      <c r="U208" s="2">
        <v>20.545000000000002</v>
      </c>
      <c r="V208" s="15" t="s">
        <v>955</v>
      </c>
      <c r="W208" s="18">
        <f>T208-U208</f>
        <v>14.479999999999997</v>
      </c>
      <c r="X208" s="15"/>
      <c r="Y208" s="15"/>
      <c r="Z208" s="1" t="s">
        <v>129</v>
      </c>
      <c r="AA208" s="15"/>
      <c r="AB208" s="15"/>
      <c r="AC208" s="15"/>
      <c r="AD208" s="15"/>
      <c r="AE208" s="15"/>
      <c r="AF208" s="15"/>
      <c r="AG208" s="29"/>
      <c r="AH208" s="1" t="s">
        <v>86</v>
      </c>
      <c r="AJ208" s="7" t="s">
        <v>1050</v>
      </c>
      <c r="AL208" s="1" t="s">
        <v>149</v>
      </c>
      <c r="AM208" s="15" t="s">
        <v>620</v>
      </c>
      <c r="AN208" t="b">
        <f>R208=AM208</f>
        <v>1</v>
      </c>
    </row>
    <row r="209" spans="1:40" ht="26.25">
      <c r="A209" s="1">
        <v>208</v>
      </c>
      <c r="B209" s="1" t="s">
        <v>192</v>
      </c>
      <c r="C209" s="2">
        <v>22.584</v>
      </c>
      <c r="D209" s="2">
        <v>22.315999999999999</v>
      </c>
      <c r="E209" s="8" t="s">
        <v>203</v>
      </c>
      <c r="F209" s="8" t="s">
        <v>203</v>
      </c>
      <c r="G209" s="1" t="s">
        <v>203</v>
      </c>
      <c r="H209" s="1"/>
      <c r="I209" s="1" t="s">
        <v>350</v>
      </c>
      <c r="J209" s="1">
        <v>16</v>
      </c>
      <c r="K209" s="1" t="str">
        <f>CONCATENATE(I209,J209)</f>
        <v>I16</v>
      </c>
      <c r="L209" s="1" t="s">
        <v>361</v>
      </c>
      <c r="M209" s="1">
        <v>313</v>
      </c>
      <c r="N209">
        <v>245</v>
      </c>
      <c r="O209" s="7" t="s">
        <v>369</v>
      </c>
      <c r="Q209" s="1" t="s">
        <v>192</v>
      </c>
      <c r="R209" s="15" t="s">
        <v>514</v>
      </c>
      <c r="T209" s="2">
        <v>22.584</v>
      </c>
      <c r="U209" s="2">
        <v>22.315999999999999</v>
      </c>
      <c r="V209" s="15" t="s">
        <v>848</v>
      </c>
      <c r="W209" s="18">
        <f>T209-U209</f>
        <v>0.26800000000000068</v>
      </c>
      <c r="X209" s="30">
        <v>932.27</v>
      </c>
      <c r="Y209" s="30">
        <f>(X209-122)/3</f>
        <v>270.08999999999997</v>
      </c>
      <c r="Z209" s="1" t="s">
        <v>203</v>
      </c>
      <c r="AA209" s="15"/>
      <c r="AB209" s="15"/>
      <c r="AC209" s="15"/>
      <c r="AD209" s="15"/>
      <c r="AE209" s="15"/>
      <c r="AF209" s="15">
        <v>2</v>
      </c>
      <c r="AG209" s="29"/>
      <c r="AH209" s="1" t="s">
        <v>129</v>
      </c>
      <c r="AJ209" s="7" t="s">
        <v>1050</v>
      </c>
      <c r="AL209" s="1" t="s">
        <v>192</v>
      </c>
      <c r="AM209" s="15" t="s">
        <v>514</v>
      </c>
      <c r="AN209" t="b">
        <f>R209=AM209</f>
        <v>1</v>
      </c>
    </row>
    <row r="210" spans="1:40" ht="26.25">
      <c r="A210" s="1">
        <v>256</v>
      </c>
      <c r="B210" s="1" t="s">
        <v>233</v>
      </c>
      <c r="C210" s="2">
        <v>29.198</v>
      </c>
      <c r="D210" s="2">
        <v>22.22</v>
      </c>
      <c r="E210" s="8" t="s">
        <v>203</v>
      </c>
      <c r="F210" s="8" t="s">
        <v>203</v>
      </c>
      <c r="G210" s="1" t="s">
        <v>203</v>
      </c>
      <c r="H210" s="1"/>
      <c r="I210" s="1" t="s">
        <v>352</v>
      </c>
      <c r="J210" s="1">
        <v>16</v>
      </c>
      <c r="K210" s="1" t="str">
        <f>CONCATENATE(I210,J210)</f>
        <v>K16</v>
      </c>
      <c r="L210" s="1" t="s">
        <v>361</v>
      </c>
      <c r="M210" s="1">
        <v>315</v>
      </c>
      <c r="N210">
        <v>246</v>
      </c>
      <c r="O210" s="7" t="s">
        <v>369</v>
      </c>
      <c r="Q210" s="1" t="s">
        <v>233</v>
      </c>
      <c r="R210" s="15" t="s">
        <v>515</v>
      </c>
      <c r="T210" s="2">
        <v>29.198</v>
      </c>
      <c r="U210" s="2">
        <v>22.22</v>
      </c>
      <c r="V210" s="15" t="s">
        <v>849</v>
      </c>
      <c r="W210" s="18">
        <f>T210-U210</f>
        <v>6.9780000000000015</v>
      </c>
      <c r="X210" s="15"/>
      <c r="Y210" s="15"/>
      <c r="Z210" s="1" t="s">
        <v>129</v>
      </c>
      <c r="AA210" s="15"/>
      <c r="AB210" s="15"/>
      <c r="AC210" s="15"/>
      <c r="AD210" s="15"/>
      <c r="AE210" s="15"/>
      <c r="AF210" s="15"/>
      <c r="AG210" s="29"/>
      <c r="AH210" s="1" t="s">
        <v>129</v>
      </c>
      <c r="AJ210" s="7" t="s">
        <v>1050</v>
      </c>
      <c r="AL210" s="1" t="s">
        <v>233</v>
      </c>
      <c r="AM210" s="15" t="s">
        <v>515</v>
      </c>
      <c r="AN210" t="b">
        <f>R210=AM210</f>
        <v>1</v>
      </c>
    </row>
    <row r="211" spans="1:40" ht="26.25">
      <c r="A211" s="1">
        <v>304</v>
      </c>
      <c r="B211" s="1" t="s">
        <v>273</v>
      </c>
      <c r="C211" s="2">
        <v>22.507000000000001</v>
      </c>
      <c r="D211" s="2">
        <v>22.428999999999998</v>
      </c>
      <c r="E211" s="8" t="s">
        <v>203</v>
      </c>
      <c r="F211" s="8" t="s">
        <v>203</v>
      </c>
      <c r="G211" s="1" t="s">
        <v>203</v>
      </c>
      <c r="H211" s="1"/>
      <c r="I211" s="1" t="s">
        <v>353</v>
      </c>
      <c r="J211" s="1">
        <v>16</v>
      </c>
      <c r="K211" s="1" t="str">
        <f>CONCATENATE(I211,J211)</f>
        <v>M16</v>
      </c>
      <c r="L211" s="1" t="s">
        <v>361</v>
      </c>
      <c r="M211" s="1">
        <v>317</v>
      </c>
      <c r="N211">
        <v>247</v>
      </c>
      <c r="O211" s="7" t="s">
        <v>369</v>
      </c>
      <c r="Q211" s="1" t="s">
        <v>273</v>
      </c>
      <c r="R211" s="15" t="s">
        <v>516</v>
      </c>
      <c r="T211" s="2">
        <v>22.507000000000001</v>
      </c>
      <c r="U211" s="2">
        <v>22.428999999999998</v>
      </c>
      <c r="V211" s="15" t="s">
        <v>850</v>
      </c>
      <c r="W211" s="18">
        <f>T211-U211</f>
        <v>7.8000000000002956E-2</v>
      </c>
      <c r="X211" s="30">
        <v>573.66999999999996</v>
      </c>
      <c r="Y211" s="30">
        <f>(X211-122)/3</f>
        <v>150.55666666666664</v>
      </c>
      <c r="Z211" s="1" t="s">
        <v>203</v>
      </c>
      <c r="AA211" s="15"/>
      <c r="AB211" s="15"/>
      <c r="AC211" s="15"/>
      <c r="AD211" s="15"/>
      <c r="AE211" s="15">
        <v>4019</v>
      </c>
      <c r="AF211" s="15"/>
      <c r="AG211" s="29"/>
      <c r="AH211" s="1" t="s">
        <v>86</v>
      </c>
      <c r="AJ211" s="7" t="s">
        <v>1050</v>
      </c>
      <c r="AL211" s="1" t="s">
        <v>273</v>
      </c>
      <c r="AM211" s="15" t="s">
        <v>516</v>
      </c>
      <c r="AN211" t="b">
        <f>R211=AM211</f>
        <v>1</v>
      </c>
    </row>
    <row r="212" spans="1:40" ht="26.25">
      <c r="A212" s="1">
        <v>352</v>
      </c>
      <c r="B212" s="1" t="s">
        <v>312</v>
      </c>
      <c r="C212" s="2">
        <v>22.404</v>
      </c>
      <c r="D212" s="2">
        <v>22.285</v>
      </c>
      <c r="E212" s="8" t="s">
        <v>203</v>
      </c>
      <c r="F212" s="8" t="s">
        <v>203</v>
      </c>
      <c r="G212" s="1" t="s">
        <v>203</v>
      </c>
      <c r="H212" s="1"/>
      <c r="I212" s="1" t="s">
        <v>354</v>
      </c>
      <c r="J212" s="1">
        <v>16</v>
      </c>
      <c r="K212" s="1" t="str">
        <f>CONCATENATE(I212,J212)</f>
        <v>O16</v>
      </c>
      <c r="L212" s="1" t="s">
        <v>361</v>
      </c>
      <c r="M212" s="1">
        <v>319</v>
      </c>
      <c r="N212">
        <v>248</v>
      </c>
      <c r="O212" s="7" t="s">
        <v>369</v>
      </c>
      <c r="Q212" s="1" t="s">
        <v>312</v>
      </c>
      <c r="R212" s="15" t="s">
        <v>517</v>
      </c>
      <c r="T212" s="2">
        <v>22.404</v>
      </c>
      <c r="U212" s="2">
        <v>22.285</v>
      </c>
      <c r="V212" s="15" t="s">
        <v>851</v>
      </c>
      <c r="W212" s="18">
        <f>T212-U212</f>
        <v>0.11899999999999977</v>
      </c>
      <c r="X212" s="30">
        <v>579.32000000000005</v>
      </c>
      <c r="Y212" s="30">
        <f>(X212-122)/3</f>
        <v>152.44000000000003</v>
      </c>
      <c r="Z212" s="1" t="s">
        <v>203</v>
      </c>
      <c r="AA212" s="15"/>
      <c r="AB212" s="15"/>
      <c r="AC212" s="15"/>
      <c r="AD212" s="15"/>
      <c r="AE212" s="15">
        <v>3863</v>
      </c>
      <c r="AF212" s="15"/>
      <c r="AG212" s="29"/>
      <c r="AH212" s="1" t="s">
        <v>129</v>
      </c>
      <c r="AJ212" s="7" t="s">
        <v>1050</v>
      </c>
      <c r="AL212" s="1" t="s">
        <v>312</v>
      </c>
      <c r="AM212" s="15" t="s">
        <v>517</v>
      </c>
      <c r="AN212" t="b">
        <f>R212=AM212</f>
        <v>1</v>
      </c>
    </row>
    <row r="213" spans="1:40" ht="26.25">
      <c r="A213" s="1">
        <v>40</v>
      </c>
      <c r="B213" s="1" t="s">
        <v>40</v>
      </c>
      <c r="C213" s="2">
        <v>23.17</v>
      </c>
      <c r="D213" s="2">
        <v>22.849</v>
      </c>
      <c r="E213" s="8" t="s">
        <v>203</v>
      </c>
      <c r="F213" s="8" t="s">
        <v>203</v>
      </c>
      <c r="G213" s="1" t="s">
        <v>203</v>
      </c>
      <c r="H213" s="1"/>
      <c r="I213" s="1" t="s">
        <v>343</v>
      </c>
      <c r="J213" s="1">
        <v>16</v>
      </c>
      <c r="K213" s="1" t="str">
        <f>CONCATENATE(I213,J213)</f>
        <v>B16</v>
      </c>
      <c r="L213" s="1" t="s">
        <v>360</v>
      </c>
      <c r="M213" s="1">
        <v>218</v>
      </c>
      <c r="N213">
        <v>249</v>
      </c>
      <c r="O213" s="7" t="s">
        <v>369</v>
      </c>
      <c r="Q213" s="1" t="s">
        <v>40</v>
      </c>
      <c r="R213" s="15" t="s">
        <v>518</v>
      </c>
      <c r="T213" s="2">
        <v>23.17</v>
      </c>
      <c r="U213" s="2">
        <v>22.849</v>
      </c>
      <c r="V213" s="15" t="s">
        <v>852</v>
      </c>
      <c r="W213" s="18">
        <f>T213-U213</f>
        <v>0.32100000000000151</v>
      </c>
      <c r="X213" s="30">
        <v>593.97</v>
      </c>
      <c r="Y213" s="30">
        <f>(X213-122)/3</f>
        <v>157.32333333333335</v>
      </c>
      <c r="Z213" s="1" t="s">
        <v>203</v>
      </c>
      <c r="AA213" s="15"/>
      <c r="AB213" s="15"/>
      <c r="AC213" s="15"/>
      <c r="AD213" s="15"/>
      <c r="AE213" s="15">
        <v>3582</v>
      </c>
      <c r="AF213" s="15"/>
      <c r="AG213" s="29"/>
      <c r="AH213" s="1" t="s">
        <v>129</v>
      </c>
      <c r="AJ213" s="7" t="s">
        <v>1050</v>
      </c>
      <c r="AL213" s="1" t="s">
        <v>40</v>
      </c>
      <c r="AM213" s="15" t="s">
        <v>518</v>
      </c>
      <c r="AN213" t="b">
        <f>R213=AM213</f>
        <v>1</v>
      </c>
    </row>
    <row r="214" spans="1:40" ht="26.25">
      <c r="A214" s="1">
        <v>88</v>
      </c>
      <c r="B214" s="1" t="s">
        <v>84</v>
      </c>
      <c r="C214" s="2">
        <v>22.92</v>
      </c>
      <c r="D214" s="2">
        <v>22.786999999999999</v>
      </c>
      <c r="E214" s="8" t="s">
        <v>203</v>
      </c>
      <c r="F214" s="8" t="s">
        <v>203</v>
      </c>
      <c r="G214" s="1" t="s">
        <v>203</v>
      </c>
      <c r="H214" s="1"/>
      <c r="I214" s="1" t="s">
        <v>345</v>
      </c>
      <c r="J214" s="1">
        <v>16</v>
      </c>
      <c r="K214" s="1" t="str">
        <f>CONCATENATE(I214,J214)</f>
        <v>D16</v>
      </c>
      <c r="L214" s="1" t="s">
        <v>360</v>
      </c>
      <c r="M214" s="1">
        <v>220</v>
      </c>
      <c r="N214">
        <v>250</v>
      </c>
      <c r="O214" s="7" t="s">
        <v>369</v>
      </c>
      <c r="Q214" s="1" t="s">
        <v>84</v>
      </c>
      <c r="R214" s="15" t="s">
        <v>519</v>
      </c>
      <c r="T214" s="2">
        <v>22.92</v>
      </c>
      <c r="U214" s="2">
        <v>22.786999999999999</v>
      </c>
      <c r="V214" s="15" t="s">
        <v>853</v>
      </c>
      <c r="W214" s="18">
        <f>T214-U214</f>
        <v>0.13300000000000267</v>
      </c>
      <c r="X214" s="30">
        <v>588.32000000000005</v>
      </c>
      <c r="Y214" s="30">
        <f>(X214-122)/3</f>
        <v>155.44000000000003</v>
      </c>
      <c r="Z214" s="1" t="s">
        <v>203</v>
      </c>
      <c r="AA214" s="15"/>
      <c r="AB214" s="15"/>
      <c r="AC214" s="15"/>
      <c r="AD214" s="15"/>
      <c r="AE214" s="15">
        <v>3693</v>
      </c>
      <c r="AF214" s="15"/>
      <c r="AG214" s="29"/>
      <c r="AH214" s="1" t="s">
        <v>129</v>
      </c>
      <c r="AJ214" s="7" t="s">
        <v>1050</v>
      </c>
      <c r="AL214" s="1" t="s">
        <v>84</v>
      </c>
      <c r="AM214" s="15" t="s">
        <v>519</v>
      </c>
      <c r="AN214" t="b">
        <f>R214=AM214</f>
        <v>1</v>
      </c>
    </row>
    <row r="215" spans="1:40" ht="26.25">
      <c r="A215" s="1">
        <v>136</v>
      </c>
      <c r="B215" s="1" t="s">
        <v>127</v>
      </c>
      <c r="C215" s="2">
        <v>35.85</v>
      </c>
      <c r="D215" s="2">
        <v>24.303999999999998</v>
      </c>
      <c r="E215" s="8" t="s">
        <v>366</v>
      </c>
      <c r="F215" s="8" t="s">
        <v>203</v>
      </c>
      <c r="G215" s="1" t="s">
        <v>129</v>
      </c>
      <c r="H215" s="1"/>
      <c r="I215" s="1" t="s">
        <v>347</v>
      </c>
      <c r="J215" s="1">
        <v>16</v>
      </c>
      <c r="K215" s="1" t="str">
        <f>CONCATENATE(I215,J215)</f>
        <v>F16</v>
      </c>
      <c r="L215" s="1" t="s">
        <v>360</v>
      </c>
      <c r="M215" s="1">
        <v>222</v>
      </c>
      <c r="N215">
        <v>251</v>
      </c>
      <c r="O215" s="7" t="s">
        <v>369</v>
      </c>
      <c r="Q215" s="1" t="s">
        <v>127</v>
      </c>
      <c r="R215" s="15" t="s">
        <v>621</v>
      </c>
      <c r="T215" s="2">
        <v>35.85</v>
      </c>
      <c r="U215" s="2">
        <v>24.303999999999998</v>
      </c>
      <c r="V215" s="15" t="s">
        <v>956</v>
      </c>
      <c r="W215" s="18">
        <f>T215-U215</f>
        <v>11.546000000000003</v>
      </c>
      <c r="X215" s="15"/>
      <c r="Y215" s="15"/>
      <c r="Z215" s="1" t="s">
        <v>129</v>
      </c>
      <c r="AA215" s="15"/>
      <c r="AB215" s="15"/>
      <c r="AC215" s="15"/>
      <c r="AD215" s="15"/>
      <c r="AE215" s="15"/>
      <c r="AF215" s="15"/>
      <c r="AG215" s="29"/>
      <c r="AH215" s="1" t="s">
        <v>129</v>
      </c>
      <c r="AJ215" s="7" t="s">
        <v>1050</v>
      </c>
      <c r="AL215" s="1" t="s">
        <v>127</v>
      </c>
      <c r="AM215" s="15" t="s">
        <v>621</v>
      </c>
      <c r="AN215" t="b">
        <f>R215=AM215</f>
        <v>1</v>
      </c>
    </row>
    <row r="216" spans="1:40" ht="26.25">
      <c r="A216" s="1">
        <v>184</v>
      </c>
      <c r="B216" s="1" t="s">
        <v>170</v>
      </c>
      <c r="C216" s="2">
        <v>22.105</v>
      </c>
      <c r="D216" s="2">
        <v>21.658999999999999</v>
      </c>
      <c r="E216" s="8" t="s">
        <v>203</v>
      </c>
      <c r="F216" s="8" t="s">
        <v>203</v>
      </c>
      <c r="G216" s="1" t="s">
        <v>203</v>
      </c>
      <c r="H216" s="1"/>
      <c r="I216" s="1" t="s">
        <v>349</v>
      </c>
      <c r="J216" s="1">
        <v>16</v>
      </c>
      <c r="K216" s="1" t="str">
        <f>CONCATENATE(I216,J216)</f>
        <v>H16</v>
      </c>
      <c r="L216" s="1" t="s">
        <v>360</v>
      </c>
      <c r="M216" s="1">
        <v>224</v>
      </c>
      <c r="N216">
        <v>252</v>
      </c>
      <c r="O216" s="7" t="s">
        <v>369</v>
      </c>
      <c r="Q216" s="1" t="s">
        <v>170</v>
      </c>
      <c r="R216" s="15" t="s">
        <v>520</v>
      </c>
      <c r="T216" s="2">
        <v>22.105</v>
      </c>
      <c r="U216" s="2">
        <v>21.658999999999999</v>
      </c>
      <c r="V216" s="15" t="s">
        <v>854</v>
      </c>
      <c r="W216" s="18">
        <f>T216-U216</f>
        <v>0.44600000000000151</v>
      </c>
      <c r="X216" s="30">
        <v>599.89</v>
      </c>
      <c r="Y216" s="30">
        <f>(X216-122)/3</f>
        <v>159.29666666666665</v>
      </c>
      <c r="Z216" s="1" t="s">
        <v>203</v>
      </c>
      <c r="AA216" s="15"/>
      <c r="AB216" s="15"/>
      <c r="AC216" s="15"/>
      <c r="AD216" s="15"/>
      <c r="AE216" s="15">
        <v>4219</v>
      </c>
      <c r="AF216" s="15"/>
      <c r="AG216" s="29"/>
      <c r="AH216" s="1" t="s">
        <v>86</v>
      </c>
      <c r="AJ216" s="7" t="s">
        <v>1050</v>
      </c>
      <c r="AL216" s="1" t="s">
        <v>170</v>
      </c>
      <c r="AM216" s="15" t="s">
        <v>520</v>
      </c>
      <c r="AN216" t="b">
        <f>R216=AM216</f>
        <v>1</v>
      </c>
    </row>
    <row r="217" spans="1:40" ht="26.25">
      <c r="A217" s="1">
        <v>232</v>
      </c>
      <c r="B217" s="1" t="s">
        <v>212</v>
      </c>
      <c r="C217" s="2" t="s">
        <v>129</v>
      </c>
      <c r="D217" s="2">
        <v>22.940999999999999</v>
      </c>
      <c r="E217" s="8" t="s">
        <v>129</v>
      </c>
      <c r="F217" s="8" t="s">
        <v>203</v>
      </c>
      <c r="G217" s="1" t="s">
        <v>129</v>
      </c>
      <c r="H217" s="1"/>
      <c r="I217" s="1" t="s">
        <v>351</v>
      </c>
      <c r="J217" s="1">
        <v>16</v>
      </c>
      <c r="K217" s="1" t="str">
        <f>CONCATENATE(I217,J217)</f>
        <v>J16</v>
      </c>
      <c r="L217" s="1" t="s">
        <v>361</v>
      </c>
      <c r="M217" s="1">
        <v>314</v>
      </c>
      <c r="N217">
        <v>253</v>
      </c>
      <c r="O217" s="7" t="s">
        <v>369</v>
      </c>
      <c r="Q217" s="1" t="s">
        <v>212</v>
      </c>
      <c r="R217" s="15" t="s">
        <v>664</v>
      </c>
      <c r="T217" s="2" t="s">
        <v>129</v>
      </c>
      <c r="U217" s="2">
        <v>22.940999999999999</v>
      </c>
      <c r="V217" s="15" t="s">
        <v>999</v>
      </c>
      <c r="W217" s="18" t="e">
        <f>T217-U217</f>
        <v>#VALUE!</v>
      </c>
      <c r="X217" s="15"/>
      <c r="Y217" s="15"/>
      <c r="Z217" s="1" t="s">
        <v>129</v>
      </c>
      <c r="AA217" s="15"/>
      <c r="AB217" s="15"/>
      <c r="AC217" s="15"/>
      <c r="AD217" s="15"/>
      <c r="AE217" s="15"/>
      <c r="AF217" s="15"/>
      <c r="AG217" s="29"/>
      <c r="AH217" s="1" t="s">
        <v>129</v>
      </c>
      <c r="AJ217" s="7" t="s">
        <v>1050</v>
      </c>
      <c r="AL217" s="1" t="s">
        <v>212</v>
      </c>
      <c r="AM217" s="15" t="s">
        <v>664</v>
      </c>
      <c r="AN217" t="b">
        <f>R217=AM217</f>
        <v>1</v>
      </c>
    </row>
    <row r="218" spans="1:40" ht="26.25">
      <c r="A218" s="1">
        <v>280</v>
      </c>
      <c r="B218" s="1" t="s">
        <v>252</v>
      </c>
      <c r="C218" s="2" t="s">
        <v>129</v>
      </c>
      <c r="D218" s="2">
        <v>21.965</v>
      </c>
      <c r="E218" s="8" t="s">
        <v>129</v>
      </c>
      <c r="F218" s="8" t="s">
        <v>203</v>
      </c>
      <c r="G218" s="1" t="s">
        <v>129</v>
      </c>
      <c r="H218" s="1"/>
      <c r="I218" s="1" t="s">
        <v>357</v>
      </c>
      <c r="J218" s="1">
        <v>16</v>
      </c>
      <c r="K218" s="1" t="str">
        <f>CONCATENATE(I218,J218)</f>
        <v>L16</v>
      </c>
      <c r="L218" s="1" t="s">
        <v>361</v>
      </c>
      <c r="M218" s="1">
        <v>316</v>
      </c>
      <c r="N218">
        <v>254</v>
      </c>
      <c r="O218" s="7" t="s">
        <v>369</v>
      </c>
      <c r="Q218" s="1" t="s">
        <v>252</v>
      </c>
      <c r="R218" s="15" t="s">
        <v>665</v>
      </c>
      <c r="T218" s="2" t="s">
        <v>129</v>
      </c>
      <c r="U218" s="2">
        <v>21.965</v>
      </c>
      <c r="V218" s="15" t="s">
        <v>1000</v>
      </c>
      <c r="W218" s="18" t="e">
        <f>T218-U218</f>
        <v>#VALUE!</v>
      </c>
      <c r="X218" s="15"/>
      <c r="Y218" s="15"/>
      <c r="Z218" s="1" t="s">
        <v>129</v>
      </c>
      <c r="AA218" s="15"/>
      <c r="AB218" s="15"/>
      <c r="AC218" s="15"/>
      <c r="AD218" s="15"/>
      <c r="AE218" s="15"/>
      <c r="AF218" s="15"/>
      <c r="AG218" s="29"/>
      <c r="AH218" s="1" t="s">
        <v>86</v>
      </c>
      <c r="AJ218" s="7" t="s">
        <v>1050</v>
      </c>
      <c r="AL218" s="1" t="s">
        <v>252</v>
      </c>
      <c r="AM218" s="15" t="s">
        <v>665</v>
      </c>
      <c r="AN218" t="b">
        <f>R218=AM218</f>
        <v>1</v>
      </c>
    </row>
    <row r="219" spans="1:40" ht="26.25">
      <c r="A219" s="1">
        <v>328</v>
      </c>
      <c r="B219" s="1" t="s">
        <v>291</v>
      </c>
      <c r="C219" s="2" t="s">
        <v>129</v>
      </c>
      <c r="D219" s="2">
        <v>21.15</v>
      </c>
      <c r="E219" s="8" t="s">
        <v>129</v>
      </c>
      <c r="F219" s="8" t="s">
        <v>203</v>
      </c>
      <c r="G219" s="1" t="s">
        <v>129</v>
      </c>
      <c r="H219" s="1"/>
      <c r="I219" s="1" t="s">
        <v>4</v>
      </c>
      <c r="J219" s="1">
        <v>16</v>
      </c>
      <c r="K219" s="1" t="str">
        <f>CONCATENATE(I219,J219)</f>
        <v>N16</v>
      </c>
      <c r="L219" s="1" t="s">
        <v>361</v>
      </c>
      <c r="M219" s="1">
        <v>318</v>
      </c>
      <c r="N219">
        <v>255</v>
      </c>
      <c r="O219" s="7" t="s">
        <v>369</v>
      </c>
      <c r="Q219" s="1" t="s">
        <v>291</v>
      </c>
      <c r="R219" s="15" t="s">
        <v>666</v>
      </c>
      <c r="T219" s="2" t="s">
        <v>129</v>
      </c>
      <c r="U219" s="2">
        <v>21.15</v>
      </c>
      <c r="V219" s="15" t="s">
        <v>1001</v>
      </c>
      <c r="W219" s="18" t="e">
        <f>T219-U219</f>
        <v>#VALUE!</v>
      </c>
      <c r="X219" s="15"/>
      <c r="Y219" s="15"/>
      <c r="Z219" s="1" t="s">
        <v>129</v>
      </c>
      <c r="AA219" s="15"/>
      <c r="AB219" s="15"/>
      <c r="AC219" s="15"/>
      <c r="AD219" s="15"/>
      <c r="AE219" s="15"/>
      <c r="AF219" s="15"/>
      <c r="AG219" s="29"/>
      <c r="AH219" s="1" t="s">
        <v>86</v>
      </c>
      <c r="AJ219" s="7" t="s">
        <v>1050</v>
      </c>
      <c r="AL219" s="1" t="s">
        <v>291</v>
      </c>
      <c r="AM219" s="15" t="s">
        <v>666</v>
      </c>
      <c r="AN219" t="b">
        <f>R219=AM219</f>
        <v>1</v>
      </c>
    </row>
    <row r="220" spans="1:40" ht="26.25">
      <c r="A220" s="1">
        <v>376</v>
      </c>
      <c r="B220" s="1" t="s">
        <v>330</v>
      </c>
      <c r="C220" s="2" t="s">
        <v>129</v>
      </c>
      <c r="D220" s="2">
        <v>20.890999999999998</v>
      </c>
      <c r="E220" s="8" t="s">
        <v>129</v>
      </c>
      <c r="F220" s="8" t="s">
        <v>203</v>
      </c>
      <c r="G220" s="1" t="s">
        <v>129</v>
      </c>
      <c r="H220" s="1"/>
      <c r="I220" s="1" t="s">
        <v>355</v>
      </c>
      <c r="J220" s="1">
        <v>16</v>
      </c>
      <c r="K220" s="1" t="str">
        <f>CONCATENATE(I220,J220)</f>
        <v>P16</v>
      </c>
      <c r="L220" s="1" t="s">
        <v>361</v>
      </c>
      <c r="M220" s="1">
        <v>320</v>
      </c>
      <c r="N220">
        <v>256</v>
      </c>
      <c r="O220" s="7" t="s">
        <v>369</v>
      </c>
      <c r="Q220" s="1" t="s">
        <v>330</v>
      </c>
      <c r="R220" s="15" t="s">
        <v>667</v>
      </c>
      <c r="T220" s="2" t="s">
        <v>129</v>
      </c>
      <c r="U220" s="2">
        <v>20.890999999999998</v>
      </c>
      <c r="V220" s="15" t="s">
        <v>1002</v>
      </c>
      <c r="W220" s="18" t="e">
        <f>T220-U220</f>
        <v>#VALUE!</v>
      </c>
      <c r="X220" s="15"/>
      <c r="Y220" s="15"/>
      <c r="Z220" s="1" t="s">
        <v>129</v>
      </c>
      <c r="AA220" s="15"/>
      <c r="AB220" s="15"/>
      <c r="AC220" s="15"/>
      <c r="AD220" s="15"/>
      <c r="AE220" s="15"/>
      <c r="AF220" s="15"/>
      <c r="AG220" s="29"/>
      <c r="AH220" s="1" t="s">
        <v>129</v>
      </c>
      <c r="AJ220" s="7" t="s">
        <v>1050</v>
      </c>
      <c r="AL220" s="1" t="s">
        <v>330</v>
      </c>
      <c r="AM220" s="15" t="s">
        <v>667</v>
      </c>
      <c r="AN220" t="b">
        <f>R220=AM220</f>
        <v>1</v>
      </c>
    </row>
    <row r="221" spans="1:40" ht="26.25">
      <c r="A221" s="1">
        <v>17</v>
      </c>
      <c r="B221" s="1" t="s">
        <v>19</v>
      </c>
      <c r="C221" s="2">
        <v>23.507999999999999</v>
      </c>
      <c r="D221" s="2">
        <v>23.428999999999998</v>
      </c>
      <c r="E221" s="8" t="s">
        <v>203</v>
      </c>
      <c r="F221" s="8" t="s">
        <v>203</v>
      </c>
      <c r="G221" s="1" t="s">
        <v>203</v>
      </c>
      <c r="H221" s="1"/>
      <c r="I221" s="1" t="s">
        <v>342</v>
      </c>
      <c r="J221" s="1">
        <v>17</v>
      </c>
      <c r="K221" s="1" t="str">
        <f>CONCATENATE(I221,J221)</f>
        <v>A17</v>
      </c>
      <c r="L221" s="1" t="s">
        <v>360</v>
      </c>
      <c r="M221" s="1">
        <v>225</v>
      </c>
      <c r="N221">
        <v>257</v>
      </c>
      <c r="O221" s="7" t="s">
        <v>369</v>
      </c>
      <c r="Q221" s="1" t="s">
        <v>19</v>
      </c>
      <c r="R221" s="15" t="s">
        <v>521</v>
      </c>
      <c r="T221" s="2">
        <v>23.507999999999999</v>
      </c>
      <c r="U221" s="2">
        <v>23.428999999999998</v>
      </c>
      <c r="V221" s="15" t="s">
        <v>855</v>
      </c>
      <c r="W221" s="18">
        <f>T221-U221</f>
        <v>7.9000000000000625E-2</v>
      </c>
      <c r="X221" s="30">
        <v>590.97</v>
      </c>
      <c r="Y221" s="30">
        <f>(X221-122)/3</f>
        <v>156.32333333333335</v>
      </c>
      <c r="Z221" s="1" t="s">
        <v>203</v>
      </c>
      <c r="AA221" s="15"/>
      <c r="AB221" s="15"/>
      <c r="AC221" s="15"/>
      <c r="AD221" s="15"/>
      <c r="AE221" s="15">
        <v>4650</v>
      </c>
      <c r="AF221" s="15"/>
      <c r="AG221" s="29"/>
      <c r="AH221" s="1" t="s">
        <v>86</v>
      </c>
      <c r="AJ221" s="7" t="s">
        <v>1050</v>
      </c>
      <c r="AL221" s="1" t="s">
        <v>19</v>
      </c>
      <c r="AM221" s="15" t="s">
        <v>521</v>
      </c>
      <c r="AN221" t="b">
        <f>R221=AM221</f>
        <v>1</v>
      </c>
    </row>
    <row r="222" spans="1:40" ht="26.25">
      <c r="A222" s="1">
        <v>65</v>
      </c>
      <c r="B222" s="1" t="s">
        <v>63</v>
      </c>
      <c r="C222" s="2">
        <v>23.074999999999999</v>
      </c>
      <c r="D222" s="2">
        <v>22.696000000000002</v>
      </c>
      <c r="E222" s="8" t="s">
        <v>203</v>
      </c>
      <c r="F222" s="8" t="s">
        <v>203</v>
      </c>
      <c r="G222" s="1" t="s">
        <v>203</v>
      </c>
      <c r="H222" s="1"/>
      <c r="I222" s="1" t="s">
        <v>344</v>
      </c>
      <c r="J222" s="1">
        <v>17</v>
      </c>
      <c r="K222" s="1" t="str">
        <f>CONCATENATE(I222,J222)</f>
        <v>C17</v>
      </c>
      <c r="L222" s="1" t="s">
        <v>360</v>
      </c>
      <c r="M222" s="1">
        <v>227</v>
      </c>
      <c r="N222">
        <v>258</v>
      </c>
      <c r="O222" s="7" t="s">
        <v>369</v>
      </c>
      <c r="Q222" s="1" t="s">
        <v>63</v>
      </c>
      <c r="R222" s="15" t="s">
        <v>522</v>
      </c>
      <c r="T222" s="2">
        <v>23.074999999999999</v>
      </c>
      <c r="U222" s="2">
        <v>22.696000000000002</v>
      </c>
      <c r="V222" s="15" t="s">
        <v>856</v>
      </c>
      <c r="W222" s="18">
        <f>T222-U222</f>
        <v>0.37899999999999778</v>
      </c>
      <c r="X222" s="30">
        <v>596.89</v>
      </c>
      <c r="Y222" s="30">
        <f>(X222-122)/3</f>
        <v>158.29666666666665</v>
      </c>
      <c r="Z222" s="1" t="s">
        <v>203</v>
      </c>
      <c r="AA222" s="15"/>
      <c r="AB222" s="15"/>
      <c r="AC222" s="15"/>
      <c r="AD222" s="15"/>
      <c r="AE222" s="15">
        <v>4023</v>
      </c>
      <c r="AF222" s="15"/>
      <c r="AG222" s="29"/>
      <c r="AH222" s="1" t="s">
        <v>86</v>
      </c>
      <c r="AJ222" s="7" t="s">
        <v>1050</v>
      </c>
      <c r="AL222" s="1" t="s">
        <v>63</v>
      </c>
      <c r="AM222" s="15" t="s">
        <v>522</v>
      </c>
      <c r="AN222" t="b">
        <f>R222=AM222</f>
        <v>1</v>
      </c>
    </row>
    <row r="223" spans="1:40" ht="26.25">
      <c r="A223" s="1">
        <v>113</v>
      </c>
      <c r="B223" s="1" t="s">
        <v>107</v>
      </c>
      <c r="C223" s="2">
        <v>21.762</v>
      </c>
      <c r="D223" s="2">
        <v>21.696000000000002</v>
      </c>
      <c r="E223" s="8" t="s">
        <v>203</v>
      </c>
      <c r="F223" s="8" t="s">
        <v>203</v>
      </c>
      <c r="G223" s="1" t="s">
        <v>203</v>
      </c>
      <c r="H223" s="1"/>
      <c r="I223" s="1" t="s">
        <v>346</v>
      </c>
      <c r="J223" s="1">
        <v>17</v>
      </c>
      <c r="K223" s="1" t="str">
        <f>CONCATENATE(I223,J223)</f>
        <v>E17</v>
      </c>
      <c r="L223" s="1" t="s">
        <v>360</v>
      </c>
      <c r="M223" s="1">
        <v>229</v>
      </c>
      <c r="N223">
        <v>259</v>
      </c>
      <c r="O223" s="7" t="s">
        <v>369</v>
      </c>
      <c r="Q223" s="1" t="s">
        <v>107</v>
      </c>
      <c r="R223" s="15" t="s">
        <v>523</v>
      </c>
      <c r="T223" s="2">
        <v>21.762</v>
      </c>
      <c r="U223" s="2">
        <v>21.696000000000002</v>
      </c>
      <c r="V223" s="15" t="s">
        <v>857</v>
      </c>
      <c r="W223" s="18">
        <f>T223-U223</f>
        <v>6.5999999999998948E-2</v>
      </c>
      <c r="X223" s="30">
        <v>585.26</v>
      </c>
      <c r="Y223" s="30">
        <f>(X223-122)/3</f>
        <v>154.41999999999999</v>
      </c>
      <c r="Z223" s="1" t="s">
        <v>203</v>
      </c>
      <c r="AA223" s="15"/>
      <c r="AB223" s="15"/>
      <c r="AC223" s="15"/>
      <c r="AD223" s="15"/>
      <c r="AE223" s="15">
        <v>4755</v>
      </c>
      <c r="AF223" s="15"/>
      <c r="AG223" s="29"/>
      <c r="AH223" s="1" t="s">
        <v>86</v>
      </c>
      <c r="AJ223" s="7" t="s">
        <v>1050</v>
      </c>
      <c r="AL223" s="1" t="s">
        <v>107</v>
      </c>
      <c r="AM223" s="15" t="s">
        <v>523</v>
      </c>
      <c r="AN223" t="b">
        <f>R223=AM223</f>
        <v>1</v>
      </c>
    </row>
    <row r="224" spans="1:40" ht="26.25">
      <c r="A224" s="1">
        <v>161</v>
      </c>
      <c r="B224" s="1" t="s">
        <v>150</v>
      </c>
      <c r="C224" s="2">
        <v>23.486000000000001</v>
      </c>
      <c r="D224" s="2">
        <v>23.381</v>
      </c>
      <c r="E224" s="8" t="s">
        <v>203</v>
      </c>
      <c r="F224" s="8" t="s">
        <v>203</v>
      </c>
      <c r="G224" s="1" t="s">
        <v>203</v>
      </c>
      <c r="H224" s="1"/>
      <c r="I224" s="1" t="s">
        <v>348</v>
      </c>
      <c r="J224" s="1">
        <v>17</v>
      </c>
      <c r="K224" s="1" t="str">
        <f>CONCATENATE(I224,J224)</f>
        <v>G17</v>
      </c>
      <c r="L224" s="1" t="s">
        <v>360</v>
      </c>
      <c r="M224" s="1">
        <v>231</v>
      </c>
      <c r="N224">
        <v>260</v>
      </c>
      <c r="O224" s="7" t="s">
        <v>369</v>
      </c>
      <c r="Q224" s="1" t="s">
        <v>150</v>
      </c>
      <c r="R224" s="15" t="s">
        <v>524</v>
      </c>
      <c r="T224" s="2">
        <v>23.486000000000001</v>
      </c>
      <c r="U224" s="2">
        <v>23.381</v>
      </c>
      <c r="V224" s="15" t="s">
        <v>858</v>
      </c>
      <c r="W224" s="18">
        <f>T224-U224</f>
        <v>0.10500000000000043</v>
      </c>
      <c r="X224" s="30">
        <v>599.78</v>
      </c>
      <c r="Y224" s="30">
        <f>(X224-122)/3</f>
        <v>159.26</v>
      </c>
      <c r="Z224" s="1" t="s">
        <v>203</v>
      </c>
      <c r="AA224" s="15"/>
      <c r="AB224" s="15"/>
      <c r="AC224" s="15"/>
      <c r="AD224" s="15"/>
      <c r="AE224" s="15">
        <v>3780</v>
      </c>
      <c r="AF224" s="15"/>
      <c r="AG224" s="29"/>
      <c r="AH224" s="1" t="s">
        <v>129</v>
      </c>
      <c r="AJ224" s="7" t="s">
        <v>1050</v>
      </c>
      <c r="AL224" s="1" t="s">
        <v>150</v>
      </c>
      <c r="AM224" s="15" t="s">
        <v>524</v>
      </c>
      <c r="AN224" t="b">
        <f>R224=AM224</f>
        <v>1</v>
      </c>
    </row>
    <row r="225" spans="1:40" ht="26.25">
      <c r="A225" s="1">
        <v>209</v>
      </c>
      <c r="B225" s="1" t="s">
        <v>193</v>
      </c>
      <c r="C225" s="2">
        <v>23.446000000000002</v>
      </c>
      <c r="D225" s="2">
        <v>23.414000000000001</v>
      </c>
      <c r="E225" s="8" t="s">
        <v>203</v>
      </c>
      <c r="F225" s="8" t="s">
        <v>203</v>
      </c>
      <c r="G225" s="1" t="s">
        <v>203</v>
      </c>
      <c r="H225" s="1"/>
      <c r="I225" s="1" t="s">
        <v>350</v>
      </c>
      <c r="J225" s="1">
        <v>17</v>
      </c>
      <c r="K225" s="1" t="str">
        <f>CONCATENATE(I225,J225)</f>
        <v>I17</v>
      </c>
      <c r="L225" s="1" t="s">
        <v>361</v>
      </c>
      <c r="M225" s="1">
        <v>321</v>
      </c>
      <c r="N225">
        <v>261</v>
      </c>
      <c r="O225" s="7" t="s">
        <v>369</v>
      </c>
      <c r="Q225" s="1" t="s">
        <v>193</v>
      </c>
      <c r="R225" s="15" t="s">
        <v>525</v>
      </c>
      <c r="T225" s="2">
        <v>23.446000000000002</v>
      </c>
      <c r="U225" s="2">
        <v>23.414000000000001</v>
      </c>
      <c r="V225" s="15" t="s">
        <v>859</v>
      </c>
      <c r="W225" s="18">
        <f>T225-U225</f>
        <v>3.2000000000000028E-2</v>
      </c>
      <c r="X225" s="30">
        <v>608.42999999999995</v>
      </c>
      <c r="Y225" s="30">
        <f>(X225-122)/3</f>
        <v>162.14333333333332</v>
      </c>
      <c r="Z225" s="1" t="s">
        <v>203</v>
      </c>
      <c r="AA225" s="15"/>
      <c r="AB225" s="15"/>
      <c r="AC225" s="15"/>
      <c r="AD225" s="15"/>
      <c r="AE225" s="15">
        <v>3834</v>
      </c>
      <c r="AF225" s="15"/>
      <c r="AG225" s="29"/>
      <c r="AH225" s="1" t="s">
        <v>129</v>
      </c>
      <c r="AJ225" s="7" t="s">
        <v>1050</v>
      </c>
      <c r="AL225" s="1" t="s">
        <v>193</v>
      </c>
      <c r="AM225" s="15" t="s">
        <v>525</v>
      </c>
      <c r="AN225" t="b">
        <f>R225=AM225</f>
        <v>1</v>
      </c>
    </row>
    <row r="226" spans="1:40" ht="26.25">
      <c r="A226" s="1">
        <v>257</v>
      </c>
      <c r="B226" s="1" t="s">
        <v>234</v>
      </c>
      <c r="C226" s="2">
        <v>23.866</v>
      </c>
      <c r="D226" s="2">
        <v>23.821999999999999</v>
      </c>
      <c r="E226" s="8" t="s">
        <v>203</v>
      </c>
      <c r="F226" s="8" t="s">
        <v>203</v>
      </c>
      <c r="G226" s="1" t="s">
        <v>203</v>
      </c>
      <c r="H226" s="1"/>
      <c r="I226" s="1" t="s">
        <v>352</v>
      </c>
      <c r="J226" s="1">
        <v>17</v>
      </c>
      <c r="K226" s="1" t="str">
        <f>CONCATENATE(I226,J226)</f>
        <v>K17</v>
      </c>
      <c r="L226" s="1" t="s">
        <v>361</v>
      </c>
      <c r="M226" s="1">
        <v>323</v>
      </c>
      <c r="N226">
        <v>262</v>
      </c>
      <c r="O226" s="7" t="s">
        <v>369</v>
      </c>
      <c r="Q226" s="1" t="s">
        <v>234</v>
      </c>
      <c r="R226" s="15" t="s">
        <v>526</v>
      </c>
      <c r="T226" s="2">
        <v>23.866</v>
      </c>
      <c r="U226" s="2">
        <v>23.821999999999999</v>
      </c>
      <c r="V226" s="15" t="s">
        <v>860</v>
      </c>
      <c r="W226" s="18">
        <f>T226-U226</f>
        <v>4.4000000000000483E-2</v>
      </c>
      <c r="X226" s="30">
        <v>602.66</v>
      </c>
      <c r="Y226" s="30">
        <f>(X226-122)/3</f>
        <v>160.22</v>
      </c>
      <c r="Z226" s="1" t="s">
        <v>203</v>
      </c>
      <c r="AA226" s="15"/>
      <c r="AB226" s="15"/>
      <c r="AC226" s="15"/>
      <c r="AD226" s="15"/>
      <c r="AE226" s="15">
        <v>3329</v>
      </c>
      <c r="AF226" s="15"/>
      <c r="AG226" s="29"/>
      <c r="AH226" s="1" t="s">
        <v>129</v>
      </c>
      <c r="AJ226" s="7" t="s">
        <v>1050</v>
      </c>
      <c r="AL226" s="1" t="s">
        <v>234</v>
      </c>
      <c r="AM226" s="15" t="s">
        <v>526</v>
      </c>
      <c r="AN226" t="b">
        <f>R226=AM226</f>
        <v>1</v>
      </c>
    </row>
    <row r="227" spans="1:40" ht="15.75" customHeight="1">
      <c r="A227" s="1">
        <v>305</v>
      </c>
      <c r="B227" s="1" t="s">
        <v>203</v>
      </c>
      <c r="C227" s="2">
        <v>21.216999999999999</v>
      </c>
      <c r="D227" s="2">
        <v>21.565000000000001</v>
      </c>
      <c r="E227" s="8" t="s">
        <v>203</v>
      </c>
      <c r="F227" s="8" t="s">
        <v>203</v>
      </c>
      <c r="G227" s="1" t="s">
        <v>203</v>
      </c>
      <c r="H227" s="1"/>
      <c r="I227" s="1" t="s">
        <v>353</v>
      </c>
      <c r="J227" s="1">
        <v>17</v>
      </c>
      <c r="K227" s="1" t="str">
        <f>CONCATENATE(I227,J227)</f>
        <v>M17</v>
      </c>
      <c r="L227" s="1" t="s">
        <v>361</v>
      </c>
      <c r="M227" s="1">
        <v>325</v>
      </c>
      <c r="N227">
        <v>263</v>
      </c>
      <c r="O227" s="7" t="s">
        <v>369</v>
      </c>
      <c r="Q227" s="1" t="s">
        <v>203</v>
      </c>
      <c r="R227" s="15"/>
      <c r="T227" s="2">
        <v>21.216999999999999</v>
      </c>
      <c r="U227" s="2">
        <v>21.565000000000001</v>
      </c>
      <c r="V227" s="15" t="s">
        <v>861</v>
      </c>
      <c r="W227" s="18">
        <f>T227-U227</f>
        <v>-0.34800000000000253</v>
      </c>
      <c r="X227" s="30">
        <v>591.04999999999995</v>
      </c>
      <c r="Y227" s="30">
        <f>(X227-122)/3</f>
        <v>156.35</v>
      </c>
      <c r="Z227" s="1" t="s">
        <v>203</v>
      </c>
      <c r="AA227" s="15"/>
      <c r="AB227" s="15"/>
      <c r="AC227" s="15"/>
      <c r="AD227" s="15"/>
      <c r="AE227" s="15">
        <v>6511</v>
      </c>
      <c r="AF227" s="15"/>
      <c r="AG227" s="29"/>
      <c r="AH227" s="1"/>
      <c r="AJ227" s="7"/>
      <c r="AL227" s="1"/>
      <c r="AM227" s="15"/>
      <c r="AN227" t="b">
        <f>R227=AM227</f>
        <v>1</v>
      </c>
    </row>
    <row r="228" spans="1:40" ht="15.75" customHeight="1">
      <c r="A228" s="1">
        <v>353</v>
      </c>
      <c r="B228" s="1" t="s">
        <v>172</v>
      </c>
      <c r="C228" s="2" t="s">
        <v>129</v>
      </c>
      <c r="D228" s="2" t="s">
        <v>129</v>
      </c>
      <c r="E228" s="8" t="s">
        <v>129</v>
      </c>
      <c r="F228" s="8" t="s">
        <v>129</v>
      </c>
      <c r="G228" s="1" t="s">
        <v>172</v>
      </c>
      <c r="H228" s="1"/>
      <c r="I228" s="1" t="s">
        <v>354</v>
      </c>
      <c r="J228" s="1">
        <v>17</v>
      </c>
      <c r="K228" s="1" t="str">
        <f>CONCATENATE(I228,J228)</f>
        <v>O17</v>
      </c>
      <c r="L228" s="1" t="s">
        <v>361</v>
      </c>
      <c r="M228" s="1">
        <v>327</v>
      </c>
      <c r="N228">
        <v>264</v>
      </c>
      <c r="O228" s="7" t="s">
        <v>369</v>
      </c>
      <c r="Q228" s="1" t="s">
        <v>172</v>
      </c>
      <c r="R228" s="15"/>
      <c r="T228" s="2" t="s">
        <v>129</v>
      </c>
      <c r="U228" s="2" t="s">
        <v>129</v>
      </c>
      <c r="V228" s="15" t="s">
        <v>1033</v>
      </c>
      <c r="W228" s="18" t="e">
        <f>T228-U228</f>
        <v>#VALUE!</v>
      </c>
      <c r="X228" s="15"/>
      <c r="Y228" s="15"/>
      <c r="Z228" s="1" t="s">
        <v>172</v>
      </c>
      <c r="AA228" s="15"/>
      <c r="AB228" s="15"/>
      <c r="AC228" s="15"/>
      <c r="AD228" s="15"/>
      <c r="AE228" s="15"/>
      <c r="AF228" s="15"/>
      <c r="AG228" s="29"/>
      <c r="AH228" s="1" t="s">
        <v>172</v>
      </c>
      <c r="AJ228" s="7" t="s">
        <v>1050</v>
      </c>
      <c r="AL228" s="1" t="s">
        <v>172</v>
      </c>
      <c r="AM228" s="15"/>
      <c r="AN228" t="b">
        <f>R228=AM228</f>
        <v>1</v>
      </c>
    </row>
    <row r="229" spans="1:40" ht="15.75" customHeight="1">
      <c r="A229" s="1">
        <v>41</v>
      </c>
      <c r="B229" s="1" t="s">
        <v>41</v>
      </c>
      <c r="C229" s="2">
        <v>24.042000000000002</v>
      </c>
      <c r="D229" s="2" t="s">
        <v>129</v>
      </c>
      <c r="E229" s="8" t="s">
        <v>203</v>
      </c>
      <c r="F229" s="8" t="s">
        <v>129</v>
      </c>
      <c r="G229" s="1" t="s">
        <v>129</v>
      </c>
      <c r="H229" s="1"/>
      <c r="I229" s="1" t="s">
        <v>343</v>
      </c>
      <c r="J229" s="1">
        <v>17</v>
      </c>
      <c r="K229" s="1" t="str">
        <f>CONCATENATE(I229,J229)</f>
        <v>B17</v>
      </c>
      <c r="L229" s="1" t="s">
        <v>360</v>
      </c>
      <c r="M229" s="1">
        <v>226</v>
      </c>
      <c r="N229">
        <v>265</v>
      </c>
      <c r="O229" s="32" t="s">
        <v>370</v>
      </c>
      <c r="Q229" s="1" t="s">
        <v>41</v>
      </c>
      <c r="R229" s="15" t="s">
        <v>442</v>
      </c>
      <c r="T229" s="2">
        <v>24.042000000000002</v>
      </c>
      <c r="U229" s="2" t="s">
        <v>129</v>
      </c>
      <c r="V229" s="15" t="s">
        <v>773</v>
      </c>
      <c r="W229" s="18" t="e">
        <f>T229-U229</f>
        <v>#VALUE!</v>
      </c>
      <c r="X229" s="30"/>
      <c r="Y229" s="30"/>
      <c r="Z229" s="1" t="s">
        <v>129</v>
      </c>
      <c r="AA229" s="15"/>
      <c r="AB229" s="15"/>
      <c r="AC229" s="15"/>
      <c r="AD229" s="15"/>
      <c r="AE229" s="15"/>
      <c r="AF229" s="15"/>
      <c r="AG229" s="29"/>
      <c r="AN229" t="b">
        <f>R229=AM229</f>
        <v>0</v>
      </c>
    </row>
    <row r="230" spans="1:40" ht="15.75" customHeight="1">
      <c r="A230" s="1">
        <v>89</v>
      </c>
      <c r="B230" s="1" t="s">
        <v>85</v>
      </c>
      <c r="C230" s="2">
        <v>25.143000000000001</v>
      </c>
      <c r="D230" s="2">
        <v>26.416</v>
      </c>
      <c r="E230" s="8" t="s">
        <v>203</v>
      </c>
      <c r="F230" s="8" t="s">
        <v>203</v>
      </c>
      <c r="G230" s="1" t="s">
        <v>86</v>
      </c>
      <c r="H230" s="1"/>
      <c r="I230" s="1" t="s">
        <v>345</v>
      </c>
      <c r="J230" s="1">
        <v>17</v>
      </c>
      <c r="K230" s="1" t="str">
        <f>CONCATENATE(I230,J230)</f>
        <v>D17</v>
      </c>
      <c r="L230" s="1" t="s">
        <v>360</v>
      </c>
      <c r="M230" s="1">
        <v>228</v>
      </c>
      <c r="N230">
        <v>266</v>
      </c>
      <c r="O230" s="32" t="s">
        <v>370</v>
      </c>
      <c r="Q230" s="1" t="s">
        <v>85</v>
      </c>
      <c r="R230" s="15" t="s">
        <v>431</v>
      </c>
      <c r="T230" s="2">
        <v>25.143000000000001</v>
      </c>
      <c r="U230" s="2">
        <v>26.416</v>
      </c>
      <c r="V230" s="15" t="s">
        <v>761</v>
      </c>
      <c r="W230" s="18">
        <f>T230-U230</f>
        <v>-1.2729999999999997</v>
      </c>
      <c r="X230" s="30">
        <v>680.72</v>
      </c>
      <c r="Y230" s="30">
        <f>(X230-122)/3</f>
        <v>186.24</v>
      </c>
      <c r="Z230" s="1" t="s">
        <v>86</v>
      </c>
      <c r="AA230" s="15"/>
      <c r="AB230" s="15"/>
      <c r="AC230" s="15"/>
      <c r="AD230" s="15"/>
      <c r="AE230" s="15">
        <v>786</v>
      </c>
      <c r="AF230" s="20" t="s">
        <v>366</v>
      </c>
      <c r="AG230" s="35"/>
      <c r="AN230" t="b">
        <f>R230=AM230</f>
        <v>0</v>
      </c>
    </row>
    <row r="231" spans="1:40" ht="15.75" customHeight="1">
      <c r="A231" s="1">
        <v>137</v>
      </c>
      <c r="B231" s="1" t="s">
        <v>128</v>
      </c>
      <c r="C231" s="2">
        <v>24.300999999999998</v>
      </c>
      <c r="D231" s="2">
        <v>33.581000000000003</v>
      </c>
      <c r="E231" s="8" t="s">
        <v>203</v>
      </c>
      <c r="F231" s="8" t="s">
        <v>366</v>
      </c>
      <c r="G231" s="1" t="s">
        <v>129</v>
      </c>
      <c r="H231" s="1"/>
      <c r="I231" s="1" t="s">
        <v>347</v>
      </c>
      <c r="J231" s="1">
        <v>17</v>
      </c>
      <c r="K231" s="1" t="str">
        <f>CONCATENATE(I231,J231)</f>
        <v>F17</v>
      </c>
      <c r="L231" s="1" t="s">
        <v>360</v>
      </c>
      <c r="M231" s="1">
        <v>230</v>
      </c>
      <c r="N231">
        <v>267</v>
      </c>
      <c r="O231" s="32" t="s">
        <v>370</v>
      </c>
      <c r="Q231" s="1" t="s">
        <v>128</v>
      </c>
      <c r="R231" s="15" t="s">
        <v>437</v>
      </c>
      <c r="T231" s="2">
        <v>24.300999999999998</v>
      </c>
      <c r="U231" s="2">
        <v>33.581000000000003</v>
      </c>
      <c r="V231" s="15" t="s">
        <v>768</v>
      </c>
      <c r="W231" s="18">
        <f>T231-U231</f>
        <v>-9.2800000000000047</v>
      </c>
      <c r="X231" s="30"/>
      <c r="Y231" s="30"/>
      <c r="Z231" s="1" t="s">
        <v>129</v>
      </c>
      <c r="AA231" s="15"/>
      <c r="AB231" s="15"/>
      <c r="AC231" s="15"/>
      <c r="AD231" s="15"/>
      <c r="AE231" s="15"/>
      <c r="AF231" s="20"/>
      <c r="AG231" s="35"/>
      <c r="AN231" t="b">
        <f>R231=AM231</f>
        <v>0</v>
      </c>
    </row>
    <row r="232" spans="1:40">
      <c r="A232" s="1">
        <v>185</v>
      </c>
      <c r="B232" s="1" t="s">
        <v>171</v>
      </c>
      <c r="C232" s="2">
        <v>24.477</v>
      </c>
      <c r="D232" s="2">
        <v>38.654000000000003</v>
      </c>
      <c r="E232" s="8" t="s">
        <v>203</v>
      </c>
      <c r="F232" s="8" t="s">
        <v>366</v>
      </c>
      <c r="G232" s="1" t="s">
        <v>129</v>
      </c>
      <c r="H232" s="1"/>
      <c r="I232" s="1" t="s">
        <v>349</v>
      </c>
      <c r="J232" s="1">
        <v>17</v>
      </c>
      <c r="K232" s="1" t="str">
        <f>CONCATENATE(I232,J232)</f>
        <v>H17</v>
      </c>
      <c r="L232" s="1" t="s">
        <v>360</v>
      </c>
      <c r="M232" s="1">
        <v>232</v>
      </c>
      <c r="N232">
        <v>268</v>
      </c>
      <c r="O232" s="32" t="s">
        <v>370</v>
      </c>
      <c r="Q232" s="1" t="s">
        <v>171</v>
      </c>
      <c r="R232" s="15" t="s">
        <v>438</v>
      </c>
      <c r="T232" s="2">
        <v>24.477</v>
      </c>
      <c r="U232" s="2">
        <v>38.654000000000003</v>
      </c>
      <c r="V232" s="15" t="s">
        <v>769</v>
      </c>
      <c r="W232" s="18">
        <f>T232-U232</f>
        <v>-14.177000000000003</v>
      </c>
      <c r="X232" s="30"/>
      <c r="Y232" s="30"/>
      <c r="Z232" s="1" t="s">
        <v>129</v>
      </c>
      <c r="AA232" s="15"/>
      <c r="AB232" s="15"/>
      <c r="AC232" s="15"/>
      <c r="AD232" s="15"/>
      <c r="AE232" s="15"/>
      <c r="AF232" s="20"/>
      <c r="AG232" s="35"/>
      <c r="AN232" t="b">
        <f>R232=AM232</f>
        <v>0</v>
      </c>
    </row>
    <row r="233" spans="1:40">
      <c r="A233" s="1">
        <v>233</v>
      </c>
      <c r="B233" s="1" t="s">
        <v>213</v>
      </c>
      <c r="C233" s="2">
        <v>25.609000000000002</v>
      </c>
      <c r="D233" s="2">
        <v>26.797999999999998</v>
      </c>
      <c r="E233" s="8" t="s">
        <v>203</v>
      </c>
      <c r="F233" s="8" t="s">
        <v>203</v>
      </c>
      <c r="G233" s="1" t="s">
        <v>86</v>
      </c>
      <c r="H233" s="1"/>
      <c r="I233" s="1" t="s">
        <v>351</v>
      </c>
      <c r="J233" s="1">
        <v>17</v>
      </c>
      <c r="K233" s="1" t="str">
        <f>CONCATENATE(I233,J233)</f>
        <v>J17</v>
      </c>
      <c r="L233" s="1" t="s">
        <v>361</v>
      </c>
      <c r="M233" s="1">
        <v>322</v>
      </c>
      <c r="N233">
        <v>269</v>
      </c>
      <c r="O233" s="32" t="s">
        <v>370</v>
      </c>
      <c r="Q233" s="1" t="s">
        <v>213</v>
      </c>
      <c r="R233" s="15" t="s">
        <v>432</v>
      </c>
      <c r="T233" s="2">
        <v>25.609000000000002</v>
      </c>
      <c r="U233" s="2">
        <v>26.797999999999998</v>
      </c>
      <c r="V233" s="15" t="s">
        <v>762</v>
      </c>
      <c r="W233" s="18">
        <f>T233-U233</f>
        <v>-1.1889999999999965</v>
      </c>
      <c r="X233" s="30">
        <v>686.51</v>
      </c>
      <c r="Y233" s="30">
        <f>(X233-122)/3</f>
        <v>188.17</v>
      </c>
      <c r="Z233" s="1" t="s">
        <v>86</v>
      </c>
      <c r="AA233" s="15"/>
      <c r="AB233" s="15"/>
      <c r="AC233" s="15"/>
      <c r="AD233" s="15"/>
      <c r="AE233" s="15">
        <v>719</v>
      </c>
      <c r="AF233" s="20" t="s">
        <v>366</v>
      </c>
      <c r="AG233" s="35"/>
      <c r="AN233" t="b">
        <f>R233=AM233</f>
        <v>0</v>
      </c>
    </row>
    <row r="234" spans="1:40">
      <c r="A234" s="1">
        <v>281</v>
      </c>
      <c r="B234" s="1" t="s">
        <v>253</v>
      </c>
      <c r="C234" s="2">
        <v>24.14</v>
      </c>
      <c r="D234" s="2">
        <v>38.122999999999998</v>
      </c>
      <c r="E234" s="8" t="s">
        <v>203</v>
      </c>
      <c r="F234" s="8" t="s">
        <v>366</v>
      </c>
      <c r="G234" s="1" t="s">
        <v>129</v>
      </c>
      <c r="H234" s="1"/>
      <c r="I234" s="1" t="s">
        <v>357</v>
      </c>
      <c r="J234" s="1">
        <v>17</v>
      </c>
      <c r="K234" s="1" t="str">
        <f>CONCATENATE(I234,J234)</f>
        <v>L17</v>
      </c>
      <c r="L234" s="1" t="s">
        <v>361</v>
      </c>
      <c r="M234" s="1">
        <v>324</v>
      </c>
      <c r="N234">
        <v>270</v>
      </c>
      <c r="O234" s="32" t="s">
        <v>370</v>
      </c>
      <c r="Q234" s="1" t="s">
        <v>253</v>
      </c>
      <c r="R234" s="15" t="s">
        <v>439</v>
      </c>
      <c r="T234" s="2">
        <v>24.14</v>
      </c>
      <c r="U234" s="2">
        <v>38.122999999999998</v>
      </c>
      <c r="V234" s="15" t="s">
        <v>770</v>
      </c>
      <c r="W234" s="18">
        <f>T234-U234</f>
        <v>-13.982999999999997</v>
      </c>
      <c r="X234" s="30"/>
      <c r="Y234" s="30"/>
      <c r="Z234" s="1" t="s">
        <v>129</v>
      </c>
      <c r="AA234" s="15"/>
      <c r="AB234" s="15"/>
      <c r="AC234" s="15"/>
      <c r="AD234" s="15"/>
      <c r="AE234" s="15"/>
      <c r="AF234" s="20"/>
      <c r="AG234" s="35"/>
      <c r="AN234" t="b">
        <f>R234=AM234</f>
        <v>0</v>
      </c>
    </row>
    <row r="235" spans="1:40">
      <c r="A235" s="1">
        <v>329</v>
      </c>
      <c r="B235" s="1" t="s">
        <v>292</v>
      </c>
      <c r="C235" s="2">
        <v>25.527999999999999</v>
      </c>
      <c r="D235" s="2">
        <v>27.036999999999999</v>
      </c>
      <c r="E235" s="8" t="s">
        <v>203</v>
      </c>
      <c r="F235" s="8" t="s">
        <v>203</v>
      </c>
      <c r="G235" s="1" t="s">
        <v>86</v>
      </c>
      <c r="H235" s="1"/>
      <c r="I235" s="1" t="s">
        <v>4</v>
      </c>
      <c r="J235" s="1">
        <v>17</v>
      </c>
      <c r="K235" s="1" t="str">
        <f>CONCATENATE(I235,J235)</f>
        <v>N17</v>
      </c>
      <c r="L235" s="1" t="s">
        <v>361</v>
      </c>
      <c r="M235" s="1">
        <v>326</v>
      </c>
      <c r="N235">
        <v>271</v>
      </c>
      <c r="O235" s="32" t="s">
        <v>370</v>
      </c>
      <c r="Q235" s="1" t="s">
        <v>292</v>
      </c>
      <c r="R235" s="15" t="s">
        <v>433</v>
      </c>
      <c r="T235" s="2">
        <v>25.527999999999999</v>
      </c>
      <c r="U235" s="2">
        <v>27.036999999999999</v>
      </c>
      <c r="V235" s="15" t="s">
        <v>763</v>
      </c>
      <c r="W235" s="18">
        <f>T235-U235</f>
        <v>-1.5090000000000003</v>
      </c>
      <c r="X235" s="30">
        <v>689.48</v>
      </c>
      <c r="Y235" s="30">
        <f>(X235-122)/3</f>
        <v>189.16</v>
      </c>
      <c r="Z235" s="1" t="s">
        <v>86</v>
      </c>
      <c r="AA235" s="15"/>
      <c r="AB235" s="15"/>
      <c r="AC235" s="15"/>
      <c r="AD235" s="15"/>
      <c r="AE235" s="15">
        <v>404</v>
      </c>
      <c r="AF235" s="20" t="s">
        <v>366</v>
      </c>
      <c r="AG235" s="35"/>
      <c r="AN235" t="b">
        <f>R235=AM235</f>
        <v>0</v>
      </c>
    </row>
    <row r="236" spans="1:40">
      <c r="A236" s="1">
        <v>377</v>
      </c>
      <c r="B236" s="1" t="s">
        <v>331</v>
      </c>
      <c r="C236" s="2">
        <v>24.811</v>
      </c>
      <c r="D236" s="2" t="s">
        <v>129</v>
      </c>
      <c r="E236" s="8" t="s">
        <v>203</v>
      </c>
      <c r="F236" s="8" t="s">
        <v>129</v>
      </c>
      <c r="G236" s="1" t="s">
        <v>129</v>
      </c>
      <c r="H236" s="1"/>
      <c r="I236" s="1" t="s">
        <v>355</v>
      </c>
      <c r="J236" s="1">
        <v>17</v>
      </c>
      <c r="K236" s="1" t="str">
        <f>CONCATENATE(I236,J236)</f>
        <v>P17</v>
      </c>
      <c r="L236" s="1" t="s">
        <v>361</v>
      </c>
      <c r="M236" s="1">
        <v>328</v>
      </c>
      <c r="N236">
        <v>272</v>
      </c>
      <c r="O236" s="32" t="s">
        <v>370</v>
      </c>
      <c r="Q236" s="1" t="s">
        <v>331</v>
      </c>
      <c r="R236" s="15" t="s">
        <v>443</v>
      </c>
      <c r="T236" s="2">
        <v>24.811</v>
      </c>
      <c r="U236" s="2" t="s">
        <v>129</v>
      </c>
      <c r="V236" s="15" t="s">
        <v>774</v>
      </c>
      <c r="W236" s="18" t="e">
        <f>T236-U236</f>
        <v>#VALUE!</v>
      </c>
      <c r="X236" s="30"/>
      <c r="Y236" s="30"/>
      <c r="Z236" s="1" t="s">
        <v>129</v>
      </c>
      <c r="AA236" s="15"/>
      <c r="AB236" s="15"/>
      <c r="AC236" s="15"/>
      <c r="AD236" s="15"/>
      <c r="AE236" s="15"/>
      <c r="AF236" s="20"/>
      <c r="AG236" s="35"/>
      <c r="AN236" t="b">
        <f>R236=AM236</f>
        <v>0</v>
      </c>
    </row>
    <row r="237" spans="1:40">
      <c r="A237" s="1">
        <v>18</v>
      </c>
      <c r="B237" s="1" t="s">
        <v>20</v>
      </c>
      <c r="C237" s="2">
        <v>23.678000000000001</v>
      </c>
      <c r="D237" s="2" t="s">
        <v>129</v>
      </c>
      <c r="E237" s="8" t="s">
        <v>203</v>
      </c>
      <c r="F237" s="8" t="s">
        <v>129</v>
      </c>
      <c r="G237" s="1" t="s">
        <v>129</v>
      </c>
      <c r="H237" s="1"/>
      <c r="I237" s="1" t="s">
        <v>342</v>
      </c>
      <c r="J237" s="1">
        <v>18</v>
      </c>
      <c r="K237" s="1" t="str">
        <f>CONCATENATE(I237,J237)</f>
        <v>A18</v>
      </c>
      <c r="L237" s="1" t="s">
        <v>360</v>
      </c>
      <c r="M237" s="1">
        <v>233</v>
      </c>
      <c r="N237">
        <v>273</v>
      </c>
      <c r="O237" s="32" t="s">
        <v>370</v>
      </c>
      <c r="Q237" s="1" t="s">
        <v>20</v>
      </c>
      <c r="R237" s="15" t="s">
        <v>444</v>
      </c>
      <c r="T237" s="2">
        <v>23.678000000000001</v>
      </c>
      <c r="U237" s="2" t="s">
        <v>129</v>
      </c>
      <c r="V237" s="15" t="s">
        <v>775</v>
      </c>
      <c r="W237" s="18" t="e">
        <f>T237-U237</f>
        <v>#VALUE!</v>
      </c>
      <c r="X237" s="30"/>
      <c r="Y237" s="30"/>
      <c r="Z237" s="1" t="s">
        <v>129</v>
      </c>
      <c r="AA237" s="15"/>
      <c r="AB237" s="15"/>
      <c r="AC237" s="15"/>
      <c r="AD237" s="15"/>
      <c r="AE237" s="15"/>
      <c r="AF237" s="20"/>
      <c r="AG237" s="35"/>
      <c r="AN237" t="b">
        <f>R237=AM237</f>
        <v>0</v>
      </c>
    </row>
    <row r="238" spans="1:40">
      <c r="A238" s="1">
        <v>66</v>
      </c>
      <c r="B238" s="1" t="s">
        <v>64</v>
      </c>
      <c r="C238" s="2">
        <v>24.088999999999999</v>
      </c>
      <c r="D238" s="2" t="s">
        <v>129</v>
      </c>
      <c r="E238" s="8" t="s">
        <v>203</v>
      </c>
      <c r="F238" s="8" t="s">
        <v>129</v>
      </c>
      <c r="G238" s="1" t="s">
        <v>129</v>
      </c>
      <c r="H238" s="1"/>
      <c r="I238" s="1" t="s">
        <v>344</v>
      </c>
      <c r="J238" s="1">
        <v>18</v>
      </c>
      <c r="K238" s="1" t="str">
        <f>CONCATENATE(I238,J238)</f>
        <v>C18</v>
      </c>
      <c r="L238" s="1" t="s">
        <v>360</v>
      </c>
      <c r="M238" s="1">
        <v>235</v>
      </c>
      <c r="N238">
        <v>274</v>
      </c>
      <c r="O238" s="32" t="s">
        <v>370</v>
      </c>
      <c r="Q238" s="1" t="s">
        <v>64</v>
      </c>
      <c r="R238" s="15" t="s">
        <v>445</v>
      </c>
      <c r="T238" s="2">
        <v>24.088999999999999</v>
      </c>
      <c r="U238" s="2" t="s">
        <v>129</v>
      </c>
      <c r="V238" s="15" t="s">
        <v>776</v>
      </c>
      <c r="W238" s="18" t="e">
        <f>T238-U238</f>
        <v>#VALUE!</v>
      </c>
      <c r="X238" s="30"/>
      <c r="Y238" s="30"/>
      <c r="Z238" s="1" t="s">
        <v>129</v>
      </c>
      <c r="AA238" s="15"/>
      <c r="AB238" s="15"/>
      <c r="AC238" s="15"/>
      <c r="AD238" s="15"/>
      <c r="AE238" s="15"/>
      <c r="AF238" s="20"/>
      <c r="AG238" s="35"/>
    </row>
    <row r="239" spans="1:40">
      <c r="A239" s="1">
        <v>114</v>
      </c>
      <c r="B239" s="1" t="s">
        <v>108</v>
      </c>
      <c r="C239" s="2">
        <v>25.443999999999999</v>
      </c>
      <c r="D239" s="2">
        <v>26.866</v>
      </c>
      <c r="E239" s="8" t="s">
        <v>203</v>
      </c>
      <c r="F239" s="8" t="s">
        <v>203</v>
      </c>
      <c r="G239" s="1" t="s">
        <v>86</v>
      </c>
      <c r="H239" s="1"/>
      <c r="I239" s="1" t="s">
        <v>346</v>
      </c>
      <c r="J239" s="1">
        <v>18</v>
      </c>
      <c r="K239" s="1" t="str">
        <f>CONCATENATE(I239,J239)</f>
        <v>E18</v>
      </c>
      <c r="L239" s="1" t="s">
        <v>360</v>
      </c>
      <c r="M239" s="1">
        <v>237</v>
      </c>
      <c r="N239">
        <v>275</v>
      </c>
      <c r="O239" s="32" t="s">
        <v>370</v>
      </c>
      <c r="Q239" s="1" t="s">
        <v>108</v>
      </c>
      <c r="R239" s="15" t="s">
        <v>434</v>
      </c>
      <c r="T239" s="2">
        <v>25.443999999999999</v>
      </c>
      <c r="U239" s="2">
        <v>26.866</v>
      </c>
      <c r="V239" s="15" t="s">
        <v>764</v>
      </c>
      <c r="W239" s="18">
        <f>T239-U239</f>
        <v>-1.4220000000000006</v>
      </c>
      <c r="X239" s="30">
        <v>689.32</v>
      </c>
      <c r="Y239" s="30">
        <f>(X239-122)/3</f>
        <v>189.10666666666668</v>
      </c>
      <c r="Z239" s="1" t="s">
        <v>86</v>
      </c>
      <c r="AA239" s="15"/>
      <c r="AB239" s="15"/>
      <c r="AC239" s="15"/>
      <c r="AD239" s="15"/>
      <c r="AE239" s="15">
        <v>706</v>
      </c>
      <c r="AF239" s="20" t="s">
        <v>366</v>
      </c>
      <c r="AG239" s="35"/>
    </row>
    <row r="240" spans="1:40">
      <c r="A240" s="1">
        <v>162</v>
      </c>
      <c r="B240" s="1" t="s">
        <v>151</v>
      </c>
      <c r="C240" s="2">
        <v>25.655999999999999</v>
      </c>
      <c r="D240" s="2">
        <v>27.213000000000001</v>
      </c>
      <c r="E240" s="8" t="s">
        <v>203</v>
      </c>
      <c r="F240" s="8" t="s">
        <v>203</v>
      </c>
      <c r="G240" s="1" t="s">
        <v>86</v>
      </c>
      <c r="H240" s="1"/>
      <c r="I240" s="1" t="s">
        <v>348</v>
      </c>
      <c r="J240" s="1">
        <v>18</v>
      </c>
      <c r="K240" s="1" t="str">
        <f>CONCATENATE(I240,J240)</f>
        <v>G18</v>
      </c>
      <c r="L240" s="1" t="s">
        <v>360</v>
      </c>
      <c r="M240" s="1">
        <v>239</v>
      </c>
      <c r="N240">
        <v>276</v>
      </c>
      <c r="O240" s="32" t="s">
        <v>370</v>
      </c>
      <c r="Q240" s="1" t="s">
        <v>151</v>
      </c>
      <c r="R240" s="15" t="s">
        <v>435</v>
      </c>
      <c r="T240" s="2">
        <v>25.655999999999999</v>
      </c>
      <c r="U240" s="2">
        <v>27.213000000000001</v>
      </c>
      <c r="V240" s="15" t="s">
        <v>765</v>
      </c>
      <c r="W240" s="18">
        <f>T240-U240</f>
        <v>-1.5570000000000022</v>
      </c>
      <c r="X240" s="30">
        <v>677.53</v>
      </c>
      <c r="Y240" s="30">
        <f>(X240-122)/3</f>
        <v>185.17666666666665</v>
      </c>
      <c r="Z240" s="1" t="s">
        <v>86</v>
      </c>
      <c r="AA240" s="15"/>
      <c r="AB240" s="15"/>
      <c r="AC240" s="15"/>
      <c r="AD240" s="15"/>
      <c r="AE240" s="15">
        <v>488</v>
      </c>
      <c r="AF240" s="20" t="s">
        <v>366</v>
      </c>
      <c r="AG240" s="35"/>
    </row>
    <row r="241" spans="1:40">
      <c r="A241" s="1">
        <v>210</v>
      </c>
      <c r="B241" s="1" t="s">
        <v>194</v>
      </c>
      <c r="C241" s="2">
        <v>24.268000000000001</v>
      </c>
      <c r="D241" s="2">
        <v>35.01</v>
      </c>
      <c r="E241" s="8" t="s">
        <v>203</v>
      </c>
      <c r="F241" s="8" t="s">
        <v>366</v>
      </c>
      <c r="G241" s="1" t="s">
        <v>129</v>
      </c>
      <c r="H241" s="1"/>
      <c r="I241" s="1" t="s">
        <v>350</v>
      </c>
      <c r="J241" s="1">
        <v>18</v>
      </c>
      <c r="K241" s="1" t="str">
        <f>CONCATENATE(I241,J241)</f>
        <v>I18</v>
      </c>
      <c r="L241" s="1" t="s">
        <v>361</v>
      </c>
      <c r="M241" s="1">
        <v>329</v>
      </c>
      <c r="N241">
        <v>277</v>
      </c>
      <c r="O241" s="32" t="s">
        <v>370</v>
      </c>
      <c r="Q241" s="1" t="s">
        <v>194</v>
      </c>
      <c r="R241" s="15" t="s">
        <v>440</v>
      </c>
      <c r="T241" s="2">
        <v>24.268000000000001</v>
      </c>
      <c r="U241" s="2">
        <v>35.01</v>
      </c>
      <c r="V241" s="15" t="s">
        <v>771</v>
      </c>
      <c r="W241" s="18">
        <f>T241-U241</f>
        <v>-10.741999999999997</v>
      </c>
      <c r="X241" s="30"/>
      <c r="Y241" s="30"/>
      <c r="Z241" s="1" t="s">
        <v>129</v>
      </c>
      <c r="AA241" s="15"/>
      <c r="AB241" s="15"/>
      <c r="AC241" s="15"/>
      <c r="AD241" s="15"/>
      <c r="AE241" s="15"/>
      <c r="AF241" s="20"/>
      <c r="AG241" s="35"/>
    </row>
    <row r="242" spans="1:40">
      <c r="A242" s="1">
        <v>258</v>
      </c>
      <c r="B242" s="1" t="s">
        <v>235</v>
      </c>
      <c r="C242" s="2">
        <v>25.074999999999999</v>
      </c>
      <c r="D242" s="2">
        <v>39.622999999999998</v>
      </c>
      <c r="E242" s="8" t="s">
        <v>203</v>
      </c>
      <c r="F242" s="8" t="s">
        <v>366</v>
      </c>
      <c r="G242" s="1" t="s">
        <v>129</v>
      </c>
      <c r="H242" s="1"/>
      <c r="I242" s="1" t="s">
        <v>352</v>
      </c>
      <c r="J242" s="1">
        <v>18</v>
      </c>
      <c r="K242" s="1" t="str">
        <f>CONCATENATE(I242,J242)</f>
        <v>K18</v>
      </c>
      <c r="L242" s="1" t="s">
        <v>361</v>
      </c>
      <c r="M242" s="1">
        <v>331</v>
      </c>
      <c r="N242">
        <v>278</v>
      </c>
      <c r="O242" s="32" t="s">
        <v>370</v>
      </c>
      <c r="Q242" s="1" t="s">
        <v>235</v>
      </c>
      <c r="R242" s="15" t="s">
        <v>441</v>
      </c>
      <c r="T242" s="2">
        <v>25.074999999999999</v>
      </c>
      <c r="U242" s="2">
        <v>39.622999999999998</v>
      </c>
      <c r="V242" s="15" t="s">
        <v>772</v>
      </c>
      <c r="W242" s="18">
        <f>T242-U242</f>
        <v>-14.547999999999998</v>
      </c>
      <c r="X242" s="30"/>
      <c r="Y242" s="30"/>
      <c r="Z242" s="1" t="s">
        <v>129</v>
      </c>
      <c r="AA242" s="15"/>
      <c r="AB242" s="15"/>
      <c r="AC242" s="15"/>
      <c r="AD242" s="15"/>
      <c r="AE242" s="15"/>
      <c r="AF242" s="15"/>
      <c r="AG242" s="29"/>
    </row>
    <row r="243" spans="1:40">
      <c r="A243" s="1">
        <v>306</v>
      </c>
      <c r="B243" s="1" t="s">
        <v>274</v>
      </c>
      <c r="C243" s="2">
        <v>24.664000000000001</v>
      </c>
      <c r="D243" s="2" t="s">
        <v>129</v>
      </c>
      <c r="E243" s="8" t="s">
        <v>203</v>
      </c>
      <c r="F243" s="8" t="s">
        <v>129</v>
      </c>
      <c r="G243" s="1" t="s">
        <v>129</v>
      </c>
      <c r="H243" s="1"/>
      <c r="I243" s="1" t="s">
        <v>353</v>
      </c>
      <c r="J243" s="1">
        <v>18</v>
      </c>
      <c r="K243" s="1" t="str">
        <f>CONCATENATE(I243,J243)</f>
        <v>M18</v>
      </c>
      <c r="L243" s="1" t="s">
        <v>361</v>
      </c>
      <c r="M243" s="1">
        <v>333</v>
      </c>
      <c r="N243">
        <v>279</v>
      </c>
      <c r="O243" s="32" t="s">
        <v>370</v>
      </c>
      <c r="Q243" s="1" t="s">
        <v>274</v>
      </c>
      <c r="R243" s="15" t="s">
        <v>446</v>
      </c>
      <c r="T243" s="2">
        <v>24.664000000000001</v>
      </c>
      <c r="U243" s="2" t="s">
        <v>129</v>
      </c>
      <c r="V243" s="15" t="s">
        <v>777</v>
      </c>
      <c r="W243" s="18" t="e">
        <f>T243-U243</f>
        <v>#VALUE!</v>
      </c>
      <c r="X243" s="30"/>
      <c r="Y243" s="30"/>
      <c r="Z243" s="1" t="s">
        <v>129</v>
      </c>
      <c r="AA243" s="15"/>
      <c r="AB243" s="15"/>
      <c r="AC243" s="15"/>
      <c r="AD243" s="15"/>
      <c r="AE243" s="15"/>
      <c r="AF243" s="20"/>
      <c r="AG243" s="35"/>
      <c r="AN243" t="b">
        <f>R238=AM243</f>
        <v>0</v>
      </c>
    </row>
    <row r="244" spans="1:40">
      <c r="A244" s="1">
        <v>354</v>
      </c>
      <c r="B244" s="1" t="s">
        <v>313</v>
      </c>
      <c r="C244" s="2">
        <v>25.300999999999998</v>
      </c>
      <c r="D244" s="2">
        <v>26.86</v>
      </c>
      <c r="E244" s="8" t="s">
        <v>203</v>
      </c>
      <c r="F244" s="8" t="s">
        <v>203</v>
      </c>
      <c r="G244" s="1" t="s">
        <v>86</v>
      </c>
      <c r="H244" s="1"/>
      <c r="I244" s="1" t="s">
        <v>354</v>
      </c>
      <c r="J244" s="1">
        <v>18</v>
      </c>
      <c r="K244" s="1" t="str">
        <f>CONCATENATE(I244,J244)</f>
        <v>O18</v>
      </c>
      <c r="L244" s="1" t="s">
        <v>361</v>
      </c>
      <c r="M244" s="1">
        <v>335</v>
      </c>
      <c r="N244">
        <v>280</v>
      </c>
      <c r="O244" s="32" t="s">
        <v>370</v>
      </c>
      <c r="Q244" s="1" t="s">
        <v>313</v>
      </c>
      <c r="R244" s="15" t="s">
        <v>436</v>
      </c>
      <c r="T244" s="2">
        <v>25.300999999999998</v>
      </c>
      <c r="U244" s="2">
        <v>26.86</v>
      </c>
      <c r="V244" s="15" t="s">
        <v>766</v>
      </c>
      <c r="W244" s="18">
        <f>T244-U244</f>
        <v>-1.5590000000000011</v>
      </c>
      <c r="X244" s="30">
        <v>691.81</v>
      </c>
      <c r="Y244" s="30">
        <f>(X244-122)/3</f>
        <v>189.93666666666664</v>
      </c>
      <c r="Z244" s="1" t="s">
        <v>86</v>
      </c>
      <c r="AA244" s="15"/>
      <c r="AB244" s="15"/>
      <c r="AC244" s="15"/>
      <c r="AD244" s="15"/>
      <c r="AE244" s="15">
        <v>373</v>
      </c>
      <c r="AF244" s="15">
        <v>2</v>
      </c>
      <c r="AG244" s="29"/>
      <c r="AN244" t="b">
        <f>R239=AM244</f>
        <v>0</v>
      </c>
    </row>
    <row r="245" spans="1:40">
      <c r="A245" s="1">
        <v>42</v>
      </c>
      <c r="B245" s="1" t="s">
        <v>42</v>
      </c>
      <c r="C245" s="2" t="s">
        <v>129</v>
      </c>
      <c r="D245" s="2">
        <v>24.827999999999999</v>
      </c>
      <c r="E245" s="8" t="s">
        <v>129</v>
      </c>
      <c r="F245" s="8" t="s">
        <v>203</v>
      </c>
      <c r="G245" s="1" t="s">
        <v>42</v>
      </c>
      <c r="H245" s="1"/>
      <c r="I245" s="1" t="s">
        <v>343</v>
      </c>
      <c r="J245" s="1">
        <v>18</v>
      </c>
      <c r="K245" s="1" t="str">
        <f>CONCATENATE(I245,J245)</f>
        <v>B18</v>
      </c>
      <c r="L245" s="1" t="s">
        <v>360</v>
      </c>
      <c r="M245" s="1">
        <v>234</v>
      </c>
      <c r="N245">
        <v>281</v>
      </c>
      <c r="O245" s="32" t="s">
        <v>370</v>
      </c>
      <c r="Q245" s="1" t="s">
        <v>42</v>
      </c>
      <c r="R245" s="15"/>
      <c r="T245" s="2" t="s">
        <v>129</v>
      </c>
      <c r="U245" s="2">
        <v>24.827999999999999</v>
      </c>
      <c r="V245" s="15" t="s">
        <v>779</v>
      </c>
      <c r="W245" s="18" t="e">
        <f>T245-U245</f>
        <v>#VALUE!</v>
      </c>
      <c r="X245" s="30"/>
      <c r="Y245" s="30"/>
      <c r="Z245" s="1" t="s">
        <v>42</v>
      </c>
      <c r="AA245" s="15"/>
      <c r="AB245" s="15"/>
      <c r="AC245" s="15"/>
      <c r="AD245" s="15"/>
      <c r="AE245" s="15"/>
      <c r="AF245" s="20"/>
      <c r="AG245" s="35"/>
      <c r="AN245" t="b">
        <f>R240=AM245</f>
        <v>0</v>
      </c>
    </row>
    <row r="246" spans="1:40">
      <c r="A246" s="1">
        <v>90</v>
      </c>
      <c r="B246" s="1" t="s">
        <v>86</v>
      </c>
      <c r="C246" s="2">
        <v>26.391999999999999</v>
      </c>
      <c r="D246" s="2">
        <v>27.463000000000001</v>
      </c>
      <c r="E246" s="8" t="s">
        <v>203</v>
      </c>
      <c r="F246" s="8" t="s">
        <v>203</v>
      </c>
      <c r="G246" s="1" t="s">
        <v>86</v>
      </c>
      <c r="H246" s="1"/>
      <c r="I246" s="1" t="s">
        <v>345</v>
      </c>
      <c r="J246" s="1">
        <v>18</v>
      </c>
      <c r="K246" s="1" t="str">
        <f>CONCATENATE(I246,J246)</f>
        <v>D18</v>
      </c>
      <c r="L246" s="1" t="s">
        <v>360</v>
      </c>
      <c r="M246" s="1">
        <v>236</v>
      </c>
      <c r="N246">
        <v>282</v>
      </c>
      <c r="O246" s="32" t="s">
        <v>370</v>
      </c>
      <c r="Q246" s="1" t="s">
        <v>86</v>
      </c>
      <c r="R246" s="15"/>
      <c r="T246" s="2">
        <v>26.391999999999999</v>
      </c>
      <c r="U246" s="2">
        <v>27.463000000000001</v>
      </c>
      <c r="V246" s="15" t="s">
        <v>767</v>
      </c>
      <c r="W246" s="18">
        <f>T246-U246</f>
        <v>-1.0710000000000015</v>
      </c>
      <c r="X246" s="30"/>
      <c r="Y246" s="30"/>
      <c r="Z246" s="1" t="s">
        <v>86</v>
      </c>
      <c r="AA246" s="15"/>
      <c r="AB246" s="15"/>
      <c r="AC246" s="15"/>
      <c r="AD246" s="15"/>
      <c r="AE246" s="15"/>
      <c r="AF246" s="15"/>
      <c r="AG246" s="29"/>
      <c r="AN246" t="b">
        <f>R241=AM246</f>
        <v>0</v>
      </c>
    </row>
    <row r="247" spans="1:40">
      <c r="A247" s="1">
        <v>138</v>
      </c>
      <c r="B247" s="1" t="s">
        <v>129</v>
      </c>
      <c r="C247" s="2">
        <v>27.829000000000001</v>
      </c>
      <c r="D247" s="2" t="s">
        <v>129</v>
      </c>
      <c r="E247" s="8" t="s">
        <v>203</v>
      </c>
      <c r="F247" s="8" t="s">
        <v>129</v>
      </c>
      <c r="G247" s="1" t="s">
        <v>129</v>
      </c>
      <c r="H247" s="1"/>
      <c r="I247" s="1" t="s">
        <v>347</v>
      </c>
      <c r="J247" s="1">
        <v>18</v>
      </c>
      <c r="K247" s="1" t="str">
        <f>CONCATENATE(I247,J247)</f>
        <v>F18</v>
      </c>
      <c r="L247" s="1" t="s">
        <v>360</v>
      </c>
      <c r="M247" s="1">
        <v>238</v>
      </c>
      <c r="N247">
        <v>283</v>
      </c>
      <c r="O247" s="32" t="s">
        <v>370</v>
      </c>
      <c r="Q247" s="1" t="s">
        <v>129</v>
      </c>
      <c r="R247" s="15"/>
      <c r="T247" s="2">
        <v>27.829000000000001</v>
      </c>
      <c r="U247" s="2" t="s">
        <v>129</v>
      </c>
      <c r="V247" s="15" t="s">
        <v>778</v>
      </c>
      <c r="W247" s="18" t="e">
        <f>T247-U247</f>
        <v>#VALUE!</v>
      </c>
      <c r="X247" s="30"/>
      <c r="Y247" s="30"/>
      <c r="Z247" s="1" t="s">
        <v>129</v>
      </c>
      <c r="AA247" s="15"/>
      <c r="AB247" s="15"/>
      <c r="AC247" s="15"/>
      <c r="AD247" s="15"/>
      <c r="AE247" s="15"/>
      <c r="AF247" s="15"/>
      <c r="AG247" s="29"/>
    </row>
    <row r="248" spans="1:40">
      <c r="A248" s="1">
        <v>186</v>
      </c>
      <c r="B248" s="1" t="s">
        <v>172</v>
      </c>
      <c r="C248" s="2" t="s">
        <v>129</v>
      </c>
      <c r="D248" s="2" t="s">
        <v>129</v>
      </c>
      <c r="E248" s="8" t="s">
        <v>129</v>
      </c>
      <c r="F248" s="8" t="s">
        <v>129</v>
      </c>
      <c r="G248" s="1" t="s">
        <v>172</v>
      </c>
      <c r="H248" s="1"/>
      <c r="I248" s="1" t="s">
        <v>349</v>
      </c>
      <c r="J248" s="1">
        <v>18</v>
      </c>
      <c r="K248" s="1" t="str">
        <f>CONCATENATE(I248,J248)</f>
        <v>H18</v>
      </c>
      <c r="L248" s="1" t="s">
        <v>360</v>
      </c>
      <c r="M248" s="1">
        <v>240</v>
      </c>
      <c r="N248">
        <v>284</v>
      </c>
      <c r="O248" s="32" t="s">
        <v>370</v>
      </c>
      <c r="Q248" s="1" t="s">
        <v>172</v>
      </c>
      <c r="R248" s="15"/>
      <c r="T248" s="2" t="s">
        <v>129</v>
      </c>
      <c r="U248" s="2" t="s">
        <v>129</v>
      </c>
      <c r="V248" s="15" t="s">
        <v>780</v>
      </c>
      <c r="W248" s="18" t="e">
        <f>T248-U248</f>
        <v>#VALUE!</v>
      </c>
      <c r="X248" s="30"/>
      <c r="Y248" s="30"/>
      <c r="Z248" s="1" t="s">
        <v>172</v>
      </c>
      <c r="AA248" s="15"/>
      <c r="AB248" s="15"/>
      <c r="AC248" s="15"/>
      <c r="AD248" s="15"/>
      <c r="AE248" s="15"/>
      <c r="AF248" s="15"/>
      <c r="AG248" s="29"/>
      <c r="AN248" t="b">
        <f>R242=AM248</f>
        <v>0</v>
      </c>
    </row>
    <row r="249" spans="1:40" ht="26.25">
      <c r="A249" s="1">
        <v>19</v>
      </c>
      <c r="B249" s="1" t="s">
        <v>21</v>
      </c>
      <c r="C249" s="2" t="s">
        <v>129</v>
      </c>
      <c r="D249" s="2">
        <v>24.815999999999999</v>
      </c>
      <c r="E249" s="8" t="s">
        <v>129</v>
      </c>
      <c r="F249" s="8" t="s">
        <v>203</v>
      </c>
      <c r="G249" s="1" t="s">
        <v>129</v>
      </c>
      <c r="H249" s="1"/>
      <c r="I249" s="1" t="s">
        <v>342</v>
      </c>
      <c r="J249" s="1">
        <v>19</v>
      </c>
      <c r="K249" s="1" t="str">
        <f>CONCATENATE(I249,J249)</f>
        <v>A19</v>
      </c>
      <c r="L249" s="1" t="s">
        <v>360</v>
      </c>
      <c r="M249" s="1">
        <v>241</v>
      </c>
      <c r="N249">
        <v>289</v>
      </c>
      <c r="O249" s="7" t="s">
        <v>369</v>
      </c>
      <c r="Q249" s="1" t="s">
        <v>21</v>
      </c>
      <c r="R249" s="15" t="s">
        <v>668</v>
      </c>
      <c r="T249" s="2" t="s">
        <v>129</v>
      </c>
      <c r="U249" s="2">
        <v>24.815999999999999</v>
      </c>
      <c r="V249" s="15" t="s">
        <v>1003</v>
      </c>
      <c r="W249" s="18" t="e">
        <f>T249-U249</f>
        <v>#VALUE!</v>
      </c>
      <c r="X249" s="15"/>
      <c r="Y249" s="15"/>
      <c r="Z249" s="1" t="s">
        <v>129</v>
      </c>
      <c r="AA249" s="15"/>
      <c r="AB249" s="15"/>
      <c r="AC249" s="15"/>
      <c r="AD249" s="15"/>
      <c r="AE249" s="15"/>
      <c r="AF249" s="15"/>
      <c r="AG249" s="29"/>
      <c r="AH249" s="1" t="s">
        <v>86</v>
      </c>
      <c r="AJ249" s="7" t="s">
        <v>1050</v>
      </c>
      <c r="AL249" s="1" t="s">
        <v>21</v>
      </c>
      <c r="AM249" s="15" t="s">
        <v>668</v>
      </c>
      <c r="AN249" t="b">
        <f>R249=AM249</f>
        <v>1</v>
      </c>
    </row>
    <row r="250" spans="1:40" ht="26.25">
      <c r="A250" s="1">
        <v>67</v>
      </c>
      <c r="B250" s="1" t="s">
        <v>65</v>
      </c>
      <c r="C250" s="2">
        <v>24.643000000000001</v>
      </c>
      <c r="D250" s="2">
        <v>24.503</v>
      </c>
      <c r="E250" s="8" t="s">
        <v>203</v>
      </c>
      <c r="F250" s="8" t="s">
        <v>203</v>
      </c>
      <c r="G250" s="1" t="s">
        <v>203</v>
      </c>
      <c r="H250" s="1"/>
      <c r="I250" s="1" t="s">
        <v>344</v>
      </c>
      <c r="J250" s="1">
        <v>19</v>
      </c>
      <c r="K250" s="1" t="str">
        <f>CONCATENATE(I250,J250)</f>
        <v>C19</v>
      </c>
      <c r="L250" s="1" t="s">
        <v>360</v>
      </c>
      <c r="M250" s="1">
        <v>243</v>
      </c>
      <c r="N250">
        <v>290</v>
      </c>
      <c r="O250" s="7" t="s">
        <v>369</v>
      </c>
      <c r="Q250" s="1" t="s">
        <v>65</v>
      </c>
      <c r="R250" s="15" t="s">
        <v>527</v>
      </c>
      <c r="T250" s="2">
        <v>24.643000000000001</v>
      </c>
      <c r="U250" s="2">
        <v>24.503</v>
      </c>
      <c r="V250" s="15" t="s">
        <v>862</v>
      </c>
      <c r="W250" s="18">
        <f>T250-U250</f>
        <v>0.14000000000000057</v>
      </c>
      <c r="X250" s="30">
        <v>472.35</v>
      </c>
      <c r="Y250" s="30">
        <f>(X250-122)/3</f>
        <v>116.78333333333335</v>
      </c>
      <c r="Z250" s="1" t="s">
        <v>203</v>
      </c>
      <c r="AA250" s="15"/>
      <c r="AB250" s="15"/>
      <c r="AC250" s="15"/>
      <c r="AD250" s="15"/>
      <c r="AE250" s="15">
        <v>1951</v>
      </c>
      <c r="AF250" s="15"/>
      <c r="AG250" s="29"/>
      <c r="AH250" s="1" t="s">
        <v>86</v>
      </c>
      <c r="AJ250" s="7" t="s">
        <v>1050</v>
      </c>
      <c r="AL250" s="1" t="s">
        <v>65</v>
      </c>
      <c r="AM250" s="15" t="s">
        <v>527</v>
      </c>
      <c r="AN250" t="b">
        <f t="shared" ref="AN250:AN313" si="2">R250=AM250</f>
        <v>1</v>
      </c>
    </row>
    <row r="251" spans="1:40" ht="26.25">
      <c r="A251" s="1">
        <v>115</v>
      </c>
      <c r="B251" s="1" t="s">
        <v>109</v>
      </c>
      <c r="C251" s="2">
        <v>22.469000000000001</v>
      </c>
      <c r="D251" s="2">
        <v>22.15</v>
      </c>
      <c r="E251" s="8" t="s">
        <v>203</v>
      </c>
      <c r="F251" s="8" t="s">
        <v>203</v>
      </c>
      <c r="G251" s="1" t="s">
        <v>203</v>
      </c>
      <c r="H251" s="1"/>
      <c r="I251" s="1" t="s">
        <v>346</v>
      </c>
      <c r="J251" s="1">
        <v>19</v>
      </c>
      <c r="K251" s="1" t="str">
        <f>CONCATENATE(I251,J251)</f>
        <v>E19</v>
      </c>
      <c r="L251" s="1" t="s">
        <v>360</v>
      </c>
      <c r="M251" s="1">
        <v>245</v>
      </c>
      <c r="N251">
        <v>291</v>
      </c>
      <c r="O251" s="7" t="s">
        <v>369</v>
      </c>
      <c r="Q251" s="1" t="s">
        <v>109</v>
      </c>
      <c r="R251" s="15" t="s">
        <v>528</v>
      </c>
      <c r="T251" s="2">
        <v>22.469000000000001</v>
      </c>
      <c r="U251" s="2">
        <v>22.15</v>
      </c>
      <c r="V251" s="15" t="s">
        <v>863</v>
      </c>
      <c r="W251" s="18">
        <f>T251-U251</f>
        <v>0.31900000000000261</v>
      </c>
      <c r="X251" s="30">
        <v>472.24</v>
      </c>
      <c r="Y251" s="30">
        <f>(X251-122)/3</f>
        <v>116.74666666666667</v>
      </c>
      <c r="Z251" s="1" t="s">
        <v>203</v>
      </c>
      <c r="AA251" s="15"/>
      <c r="AB251" s="15"/>
      <c r="AC251" s="15"/>
      <c r="AD251" s="15"/>
      <c r="AE251" s="15">
        <v>3131</v>
      </c>
      <c r="AF251" s="15"/>
      <c r="AG251" s="29"/>
      <c r="AH251" s="1" t="s">
        <v>86</v>
      </c>
      <c r="AJ251" s="7" t="s">
        <v>1050</v>
      </c>
      <c r="AL251" s="1" t="s">
        <v>109</v>
      </c>
      <c r="AM251" s="15" t="s">
        <v>528</v>
      </c>
      <c r="AN251" t="b">
        <f t="shared" si="2"/>
        <v>1</v>
      </c>
    </row>
    <row r="252" spans="1:40" ht="26.25">
      <c r="A252" s="1">
        <v>163</v>
      </c>
      <c r="B252" s="1" t="s">
        <v>152</v>
      </c>
      <c r="C252" s="2" t="s">
        <v>129</v>
      </c>
      <c r="D252" s="2">
        <v>24.922999999999998</v>
      </c>
      <c r="E252" s="8" t="s">
        <v>129</v>
      </c>
      <c r="F252" s="8" t="s">
        <v>203</v>
      </c>
      <c r="G252" s="1" t="s">
        <v>129</v>
      </c>
      <c r="H252" s="1"/>
      <c r="I252" s="1" t="s">
        <v>348</v>
      </c>
      <c r="J252" s="1">
        <v>19</v>
      </c>
      <c r="K252" s="1" t="str">
        <f>CONCATENATE(I252,J252)</f>
        <v>G19</v>
      </c>
      <c r="L252" s="1" t="s">
        <v>360</v>
      </c>
      <c r="M252" s="1">
        <v>247</v>
      </c>
      <c r="N252">
        <v>292</v>
      </c>
      <c r="O252" s="7" t="s">
        <v>369</v>
      </c>
      <c r="Q252" s="1" t="s">
        <v>152</v>
      </c>
      <c r="R252" s="15" t="s">
        <v>669</v>
      </c>
      <c r="T252" s="2" t="s">
        <v>129</v>
      </c>
      <c r="U252" s="2">
        <v>24.922999999999998</v>
      </c>
      <c r="V252" s="15" t="s">
        <v>1004</v>
      </c>
      <c r="W252" s="18" t="e">
        <f>T252-U252</f>
        <v>#VALUE!</v>
      </c>
      <c r="X252" s="15"/>
      <c r="Y252" s="15"/>
      <c r="Z252" s="1" t="s">
        <v>129</v>
      </c>
      <c r="AA252" s="15"/>
      <c r="AB252" s="15"/>
      <c r="AC252" s="15"/>
      <c r="AD252" s="15"/>
      <c r="AE252" s="15"/>
      <c r="AF252" s="15"/>
      <c r="AG252" s="29"/>
      <c r="AH252" s="1" t="s">
        <v>86</v>
      </c>
      <c r="AJ252" s="7" t="s">
        <v>1050</v>
      </c>
      <c r="AL252" s="1" t="s">
        <v>152</v>
      </c>
      <c r="AM252" s="15" t="s">
        <v>669</v>
      </c>
      <c r="AN252" t="b">
        <f t="shared" si="2"/>
        <v>1</v>
      </c>
    </row>
    <row r="253" spans="1:40" ht="26.25">
      <c r="A253" s="1">
        <v>211</v>
      </c>
      <c r="B253" s="1" t="s">
        <v>195</v>
      </c>
      <c r="C253" s="2">
        <v>23.931999999999999</v>
      </c>
      <c r="D253" s="2">
        <v>23.739000000000001</v>
      </c>
      <c r="E253" s="8" t="s">
        <v>203</v>
      </c>
      <c r="F253" s="8" t="s">
        <v>203</v>
      </c>
      <c r="G253" s="1" t="s">
        <v>203</v>
      </c>
      <c r="H253" s="1"/>
      <c r="I253" s="1" t="s">
        <v>350</v>
      </c>
      <c r="J253" s="1">
        <v>19</v>
      </c>
      <c r="K253" s="1" t="str">
        <f>CONCATENATE(I253,J253)</f>
        <v>I19</v>
      </c>
      <c r="L253" s="1" t="s">
        <v>361</v>
      </c>
      <c r="M253" s="1">
        <v>337</v>
      </c>
      <c r="N253">
        <v>293</v>
      </c>
      <c r="O253" s="7" t="s">
        <v>369</v>
      </c>
      <c r="Q253" s="1" t="s">
        <v>195</v>
      </c>
      <c r="R253" s="15" t="s">
        <v>529</v>
      </c>
      <c r="T253" s="2">
        <v>23.931999999999999</v>
      </c>
      <c r="U253" s="2">
        <v>23.739000000000001</v>
      </c>
      <c r="V253" s="15" t="s">
        <v>864</v>
      </c>
      <c r="W253" s="18">
        <f>T253-U253</f>
        <v>0.19299999999999784</v>
      </c>
      <c r="X253" s="30">
        <v>480.84</v>
      </c>
      <c r="Y253" s="30">
        <f>(X253-122)/3</f>
        <v>119.61333333333333</v>
      </c>
      <c r="Z253" s="1" t="s">
        <v>203</v>
      </c>
      <c r="AA253" s="15"/>
      <c r="AB253" s="15"/>
      <c r="AC253" s="15"/>
      <c r="AD253" s="15"/>
      <c r="AE253" s="15">
        <v>2041</v>
      </c>
      <c r="AF253" s="15"/>
      <c r="AG253" s="29"/>
      <c r="AH253" s="1" t="s">
        <v>129</v>
      </c>
      <c r="AJ253" s="7" t="s">
        <v>1050</v>
      </c>
      <c r="AL253" s="1" t="s">
        <v>195</v>
      </c>
      <c r="AM253" s="15" t="s">
        <v>529</v>
      </c>
      <c r="AN253" t="b">
        <f t="shared" si="2"/>
        <v>1</v>
      </c>
    </row>
    <row r="254" spans="1:40" ht="26.25">
      <c r="A254" s="1">
        <v>259</v>
      </c>
      <c r="B254" s="1" t="s">
        <v>236</v>
      </c>
      <c r="C254" s="2" t="s">
        <v>129</v>
      </c>
      <c r="D254" s="2">
        <v>24.341999999999999</v>
      </c>
      <c r="E254" s="8" t="s">
        <v>129</v>
      </c>
      <c r="F254" s="8" t="s">
        <v>203</v>
      </c>
      <c r="G254" s="1" t="s">
        <v>129</v>
      </c>
      <c r="H254" s="1"/>
      <c r="I254" s="1" t="s">
        <v>352</v>
      </c>
      <c r="J254" s="1">
        <v>19</v>
      </c>
      <c r="K254" s="1" t="str">
        <f>CONCATENATE(I254,J254)</f>
        <v>K19</v>
      </c>
      <c r="L254" s="1" t="s">
        <v>361</v>
      </c>
      <c r="M254" s="1">
        <v>339</v>
      </c>
      <c r="N254">
        <v>294</v>
      </c>
      <c r="O254" s="7" t="s">
        <v>369</v>
      </c>
      <c r="Q254" s="1" t="s">
        <v>236</v>
      </c>
      <c r="R254" s="15" t="s">
        <v>670</v>
      </c>
      <c r="T254" s="2" t="s">
        <v>129</v>
      </c>
      <c r="U254" s="2">
        <v>24.341999999999999</v>
      </c>
      <c r="V254" s="15" t="s">
        <v>1005</v>
      </c>
      <c r="W254" s="18" t="e">
        <f>T254-U254</f>
        <v>#VALUE!</v>
      </c>
      <c r="X254" s="15"/>
      <c r="Y254" s="15"/>
      <c r="Z254" s="1" t="s">
        <v>129</v>
      </c>
      <c r="AA254" s="15"/>
      <c r="AB254" s="15"/>
      <c r="AC254" s="15"/>
      <c r="AD254" s="15"/>
      <c r="AE254" s="15"/>
      <c r="AF254" s="15"/>
      <c r="AG254" s="29"/>
      <c r="AH254" s="1" t="s">
        <v>129</v>
      </c>
      <c r="AJ254" s="7" t="s">
        <v>1050</v>
      </c>
      <c r="AL254" s="1" t="s">
        <v>236</v>
      </c>
      <c r="AM254" s="15" t="s">
        <v>670</v>
      </c>
      <c r="AN254" t="b">
        <f t="shared" si="2"/>
        <v>1</v>
      </c>
    </row>
    <row r="255" spans="1:40" ht="26.25">
      <c r="A255" s="1">
        <v>307</v>
      </c>
      <c r="B255" s="1" t="s">
        <v>275</v>
      </c>
      <c r="C255" s="2" t="s">
        <v>129</v>
      </c>
      <c r="D255" s="2">
        <v>24.001000000000001</v>
      </c>
      <c r="E255" s="8" t="s">
        <v>129</v>
      </c>
      <c r="F255" s="8" t="s">
        <v>203</v>
      </c>
      <c r="G255" s="1" t="s">
        <v>129</v>
      </c>
      <c r="H255" s="1"/>
      <c r="I255" s="1" t="s">
        <v>353</v>
      </c>
      <c r="J255" s="1">
        <v>19</v>
      </c>
      <c r="K255" s="1" t="str">
        <f>CONCATENATE(I255,J255)</f>
        <v>M19</v>
      </c>
      <c r="L255" s="1" t="s">
        <v>361</v>
      </c>
      <c r="M255" s="1">
        <v>341</v>
      </c>
      <c r="N255">
        <v>295</v>
      </c>
      <c r="O255" s="7" t="s">
        <v>369</v>
      </c>
      <c r="Q255" s="1" t="s">
        <v>275</v>
      </c>
      <c r="R255" s="15" t="s">
        <v>671</v>
      </c>
      <c r="T255" s="2" t="s">
        <v>129</v>
      </c>
      <c r="U255" s="2">
        <v>24.001000000000001</v>
      </c>
      <c r="V255" s="15" t="s">
        <v>1006</v>
      </c>
      <c r="W255" s="18" t="e">
        <f>T255-U255</f>
        <v>#VALUE!</v>
      </c>
      <c r="X255" s="15"/>
      <c r="Y255" s="15"/>
      <c r="Z255" s="1" t="s">
        <v>129</v>
      </c>
      <c r="AA255" s="15"/>
      <c r="AB255" s="15"/>
      <c r="AC255" s="15"/>
      <c r="AD255" s="15"/>
      <c r="AE255" s="15"/>
      <c r="AF255" s="15"/>
      <c r="AG255" s="29"/>
      <c r="AH255" s="1" t="s">
        <v>86</v>
      </c>
      <c r="AJ255" s="7" t="s">
        <v>1050</v>
      </c>
      <c r="AL255" s="1" t="s">
        <v>275</v>
      </c>
      <c r="AM255" s="15" t="s">
        <v>671</v>
      </c>
      <c r="AN255" t="b">
        <f t="shared" si="2"/>
        <v>1</v>
      </c>
    </row>
    <row r="256" spans="1:40" ht="26.25">
      <c r="A256" s="1">
        <v>355</v>
      </c>
      <c r="B256" s="1" t="s">
        <v>314</v>
      </c>
      <c r="C256" s="2">
        <v>24.184000000000001</v>
      </c>
      <c r="D256" s="2">
        <v>24.263999999999999</v>
      </c>
      <c r="E256" s="8" t="s">
        <v>203</v>
      </c>
      <c r="F256" s="8" t="s">
        <v>203</v>
      </c>
      <c r="G256" s="1" t="s">
        <v>203</v>
      </c>
      <c r="H256" s="1"/>
      <c r="I256" s="1" t="s">
        <v>354</v>
      </c>
      <c r="J256" s="1">
        <v>19</v>
      </c>
      <c r="K256" s="1" t="str">
        <f>CONCATENATE(I256,J256)</f>
        <v>O19</v>
      </c>
      <c r="L256" s="1" t="s">
        <v>361</v>
      </c>
      <c r="M256" s="1">
        <v>343</v>
      </c>
      <c r="N256">
        <v>296</v>
      </c>
      <c r="O256" s="7" t="s">
        <v>369</v>
      </c>
      <c r="Q256" s="1" t="s">
        <v>314</v>
      </c>
      <c r="R256" s="15" t="s">
        <v>530</v>
      </c>
      <c r="T256" s="2">
        <v>24.184000000000001</v>
      </c>
      <c r="U256" s="2">
        <v>24.263999999999999</v>
      </c>
      <c r="V256" s="15" t="s">
        <v>865</v>
      </c>
      <c r="W256" s="18">
        <f>T256-U256</f>
        <v>-7.9999999999998295E-2</v>
      </c>
      <c r="X256" s="30">
        <v>486.43</v>
      </c>
      <c r="Y256" s="30">
        <f>(X256-122)/3</f>
        <v>121.47666666666667</v>
      </c>
      <c r="Z256" s="1" t="s">
        <v>203</v>
      </c>
      <c r="AA256" s="15"/>
      <c r="AB256" s="15"/>
      <c r="AC256" s="15"/>
      <c r="AD256" s="15"/>
      <c r="AE256" s="15">
        <v>1259</v>
      </c>
      <c r="AF256" s="15"/>
      <c r="AG256" s="29"/>
      <c r="AH256" s="1" t="s">
        <v>86</v>
      </c>
      <c r="AJ256" s="7" t="s">
        <v>1050</v>
      </c>
      <c r="AL256" s="1" t="s">
        <v>314</v>
      </c>
      <c r="AM256" s="15" t="s">
        <v>530</v>
      </c>
      <c r="AN256" t="b">
        <f t="shared" si="2"/>
        <v>1</v>
      </c>
    </row>
    <row r="257" spans="1:40" ht="26.25">
      <c r="A257" s="1">
        <v>43</v>
      </c>
      <c r="B257" s="1" t="s">
        <v>43</v>
      </c>
      <c r="C257" s="2">
        <v>33.954000000000001</v>
      </c>
      <c r="D257" s="2">
        <v>22.966000000000001</v>
      </c>
      <c r="E257" s="8" t="s">
        <v>366</v>
      </c>
      <c r="F257" s="8" t="s">
        <v>203</v>
      </c>
      <c r="G257" s="1" t="s">
        <v>129</v>
      </c>
      <c r="H257" s="1"/>
      <c r="I257" s="1" t="s">
        <v>343</v>
      </c>
      <c r="J257" s="1">
        <v>19</v>
      </c>
      <c r="K257" s="1" t="str">
        <f>CONCATENATE(I257,J257)</f>
        <v>B19</v>
      </c>
      <c r="L257" s="1" t="s">
        <v>360</v>
      </c>
      <c r="M257" s="1">
        <v>242</v>
      </c>
      <c r="N257">
        <v>297</v>
      </c>
      <c r="O257" s="7" t="s">
        <v>369</v>
      </c>
      <c r="Q257" s="1" t="s">
        <v>43</v>
      </c>
      <c r="R257" s="15" t="s">
        <v>622</v>
      </c>
      <c r="T257" s="2">
        <v>33.954000000000001</v>
      </c>
      <c r="U257" s="2">
        <v>22.966000000000001</v>
      </c>
      <c r="V257" s="15" t="s">
        <v>957</v>
      </c>
      <c r="W257" s="18">
        <f>T257-U257</f>
        <v>10.988</v>
      </c>
      <c r="X257" s="15"/>
      <c r="Y257" s="15"/>
      <c r="Z257" s="1" t="s">
        <v>129</v>
      </c>
      <c r="AA257" s="15"/>
      <c r="AB257" s="15"/>
      <c r="AC257" s="15"/>
      <c r="AD257" s="15"/>
      <c r="AE257" s="15"/>
      <c r="AF257" s="15"/>
      <c r="AG257" s="29"/>
      <c r="AH257" s="1" t="s">
        <v>129</v>
      </c>
      <c r="AJ257" s="7" t="s">
        <v>1050</v>
      </c>
      <c r="AL257" s="1" t="s">
        <v>43</v>
      </c>
      <c r="AM257" s="15" t="s">
        <v>622</v>
      </c>
      <c r="AN257" t="b">
        <f t="shared" si="2"/>
        <v>1</v>
      </c>
    </row>
    <row r="258" spans="1:40" ht="26.25">
      <c r="A258" s="1">
        <v>91</v>
      </c>
      <c r="B258" s="1" t="s">
        <v>87</v>
      </c>
      <c r="C258" s="2">
        <v>24.279</v>
      </c>
      <c r="D258" s="2">
        <v>24.236999999999998</v>
      </c>
      <c r="E258" s="8" t="s">
        <v>203</v>
      </c>
      <c r="F258" s="8" t="s">
        <v>203</v>
      </c>
      <c r="G258" s="1" t="s">
        <v>203</v>
      </c>
      <c r="H258" s="1"/>
      <c r="I258" s="1" t="s">
        <v>345</v>
      </c>
      <c r="J258" s="1">
        <v>19</v>
      </c>
      <c r="K258" s="1" t="str">
        <f>CONCATENATE(I258,J258)</f>
        <v>D19</v>
      </c>
      <c r="L258" s="1" t="s">
        <v>360</v>
      </c>
      <c r="M258" s="1">
        <v>244</v>
      </c>
      <c r="N258">
        <v>298</v>
      </c>
      <c r="O258" s="7" t="s">
        <v>369</v>
      </c>
      <c r="Q258" s="1" t="s">
        <v>87</v>
      </c>
      <c r="R258" s="15" t="s">
        <v>531</v>
      </c>
      <c r="T258" s="2">
        <v>24.279</v>
      </c>
      <c r="U258" s="2">
        <v>24.236999999999998</v>
      </c>
      <c r="V258" s="15" t="s">
        <v>866</v>
      </c>
      <c r="W258" s="18">
        <f>T258-U258</f>
        <v>4.2000000000001592E-2</v>
      </c>
      <c r="X258" s="30">
        <v>487.03</v>
      </c>
      <c r="Y258" s="30">
        <f>(X258-122)/3</f>
        <v>121.67666666666666</v>
      </c>
      <c r="Z258" s="1" t="s">
        <v>203</v>
      </c>
      <c r="AA258" s="15"/>
      <c r="AB258" s="15"/>
      <c r="AC258" s="15"/>
      <c r="AD258" s="15"/>
      <c r="AE258" s="15">
        <v>2476</v>
      </c>
      <c r="AF258" s="15"/>
      <c r="AG258" s="29"/>
      <c r="AH258" s="1" t="s">
        <v>86</v>
      </c>
      <c r="AJ258" s="7" t="s">
        <v>1050</v>
      </c>
      <c r="AL258" s="1" t="s">
        <v>87</v>
      </c>
      <c r="AM258" s="15" t="s">
        <v>531</v>
      </c>
      <c r="AN258" t="b">
        <f t="shared" si="2"/>
        <v>1</v>
      </c>
    </row>
    <row r="259" spans="1:40" ht="26.25">
      <c r="A259" s="1">
        <v>139</v>
      </c>
      <c r="B259" s="1" t="s">
        <v>130</v>
      </c>
      <c r="C259" s="2" t="s">
        <v>129</v>
      </c>
      <c r="D259" s="2">
        <v>24.529</v>
      </c>
      <c r="E259" s="8" t="s">
        <v>129</v>
      </c>
      <c r="F259" s="8" t="s">
        <v>203</v>
      </c>
      <c r="G259" s="1" t="s">
        <v>129</v>
      </c>
      <c r="H259" s="1"/>
      <c r="I259" s="1" t="s">
        <v>347</v>
      </c>
      <c r="J259" s="1">
        <v>19</v>
      </c>
      <c r="K259" s="1" t="str">
        <f>CONCATENATE(I259,J259)</f>
        <v>F19</v>
      </c>
      <c r="L259" s="1" t="s">
        <v>360</v>
      </c>
      <c r="M259" s="1">
        <v>246</v>
      </c>
      <c r="N259">
        <v>299</v>
      </c>
      <c r="O259" s="7" t="s">
        <v>369</v>
      </c>
      <c r="Q259" s="1" t="s">
        <v>130</v>
      </c>
      <c r="R259" s="15" t="s">
        <v>672</v>
      </c>
      <c r="T259" s="2" t="s">
        <v>129</v>
      </c>
      <c r="U259" s="2">
        <v>24.529</v>
      </c>
      <c r="V259" s="15" t="s">
        <v>1007</v>
      </c>
      <c r="W259" s="18" t="e">
        <f>T259-U259</f>
        <v>#VALUE!</v>
      </c>
      <c r="X259" s="15"/>
      <c r="Y259" s="15"/>
      <c r="Z259" s="1" t="s">
        <v>129</v>
      </c>
      <c r="AA259" s="15"/>
      <c r="AB259" s="15"/>
      <c r="AC259" s="15"/>
      <c r="AD259" s="15"/>
      <c r="AE259" s="15"/>
      <c r="AF259" s="15"/>
      <c r="AG259" s="29"/>
      <c r="AH259" s="1" t="s">
        <v>129</v>
      </c>
      <c r="AJ259" s="7" t="s">
        <v>1050</v>
      </c>
      <c r="AL259" s="1" t="s">
        <v>130</v>
      </c>
      <c r="AM259" s="15" t="s">
        <v>672</v>
      </c>
      <c r="AN259" t="b">
        <f t="shared" si="2"/>
        <v>1</v>
      </c>
    </row>
    <row r="260" spans="1:40" ht="26.25">
      <c r="A260" s="1">
        <v>187</v>
      </c>
      <c r="B260" s="1" t="s">
        <v>173</v>
      </c>
      <c r="C260" s="2" t="s">
        <v>129</v>
      </c>
      <c r="D260" s="2">
        <v>24.324000000000002</v>
      </c>
      <c r="E260" s="8" t="s">
        <v>129</v>
      </c>
      <c r="F260" s="8" t="s">
        <v>203</v>
      </c>
      <c r="G260" s="1" t="s">
        <v>129</v>
      </c>
      <c r="H260" s="1"/>
      <c r="I260" s="1" t="s">
        <v>349</v>
      </c>
      <c r="J260" s="1">
        <v>19</v>
      </c>
      <c r="K260" s="1" t="str">
        <f>CONCATENATE(I260,J260)</f>
        <v>H19</v>
      </c>
      <c r="L260" s="1" t="s">
        <v>360</v>
      </c>
      <c r="M260" s="1">
        <v>248</v>
      </c>
      <c r="N260">
        <v>300</v>
      </c>
      <c r="O260" s="7" t="s">
        <v>369</v>
      </c>
      <c r="Q260" s="1" t="s">
        <v>173</v>
      </c>
      <c r="R260" s="15" t="s">
        <v>673</v>
      </c>
      <c r="T260" s="2" t="s">
        <v>129</v>
      </c>
      <c r="U260" s="2">
        <v>24.324000000000002</v>
      </c>
      <c r="V260" s="15" t="s">
        <v>1008</v>
      </c>
      <c r="W260" s="18" t="e">
        <f>T260-U260</f>
        <v>#VALUE!</v>
      </c>
      <c r="X260" s="15"/>
      <c r="Y260" s="15"/>
      <c r="Z260" s="1" t="s">
        <v>129</v>
      </c>
      <c r="AA260" s="15"/>
      <c r="AB260" s="15"/>
      <c r="AC260" s="15"/>
      <c r="AD260" s="15"/>
      <c r="AE260" s="15"/>
      <c r="AF260" s="15"/>
      <c r="AG260" s="29"/>
      <c r="AH260" s="1" t="s">
        <v>129</v>
      </c>
      <c r="AJ260" s="7" t="s">
        <v>1050</v>
      </c>
      <c r="AL260" s="1" t="s">
        <v>173</v>
      </c>
      <c r="AM260" s="15" t="s">
        <v>673</v>
      </c>
      <c r="AN260" t="b">
        <f t="shared" si="2"/>
        <v>1</v>
      </c>
    </row>
    <row r="261" spans="1:40" ht="26.25">
      <c r="A261" s="1">
        <v>235</v>
      </c>
      <c r="B261" s="1" t="s">
        <v>214</v>
      </c>
      <c r="C261" s="2" t="s">
        <v>129</v>
      </c>
      <c r="D261" s="2">
        <v>24.094999999999999</v>
      </c>
      <c r="E261" s="8" t="s">
        <v>129</v>
      </c>
      <c r="F261" s="8" t="s">
        <v>203</v>
      </c>
      <c r="G261" s="1" t="s">
        <v>129</v>
      </c>
      <c r="H261" s="1"/>
      <c r="I261" s="1" t="s">
        <v>351</v>
      </c>
      <c r="J261" s="1">
        <v>19</v>
      </c>
      <c r="K261" s="1" t="str">
        <f>CONCATENATE(I261,J261)</f>
        <v>J19</v>
      </c>
      <c r="L261" s="1" t="s">
        <v>361</v>
      </c>
      <c r="M261" s="1">
        <v>338</v>
      </c>
      <c r="N261">
        <v>301</v>
      </c>
      <c r="O261" s="7" t="s">
        <v>369</v>
      </c>
      <c r="Q261" s="1" t="s">
        <v>214</v>
      </c>
      <c r="R261" s="15" t="s">
        <v>674</v>
      </c>
      <c r="T261" s="2" t="s">
        <v>129</v>
      </c>
      <c r="U261" s="2">
        <v>24.094999999999999</v>
      </c>
      <c r="V261" s="15" t="s">
        <v>1009</v>
      </c>
      <c r="W261" s="18" t="e">
        <f>T261-U261</f>
        <v>#VALUE!</v>
      </c>
      <c r="X261" s="15"/>
      <c r="Y261" s="15"/>
      <c r="Z261" s="1" t="s">
        <v>129</v>
      </c>
      <c r="AA261" s="15"/>
      <c r="AB261" s="15"/>
      <c r="AC261" s="15"/>
      <c r="AD261" s="15"/>
      <c r="AE261" s="15"/>
      <c r="AF261" s="15"/>
      <c r="AG261" s="29"/>
      <c r="AH261" s="1" t="s">
        <v>86</v>
      </c>
      <c r="AJ261" s="7" t="s">
        <v>1050</v>
      </c>
      <c r="AL261" s="1" t="s">
        <v>214</v>
      </c>
      <c r="AM261" s="15" t="s">
        <v>674</v>
      </c>
      <c r="AN261" t="b">
        <f t="shared" si="2"/>
        <v>1</v>
      </c>
    </row>
    <row r="262" spans="1:40" ht="26.25">
      <c r="A262" s="1">
        <v>283</v>
      </c>
      <c r="B262" s="1" t="s">
        <v>254</v>
      </c>
      <c r="C262" s="2" t="s">
        <v>129</v>
      </c>
      <c r="D262" s="2">
        <v>24.01</v>
      </c>
      <c r="E262" s="8" t="s">
        <v>129</v>
      </c>
      <c r="F262" s="8" t="s">
        <v>203</v>
      </c>
      <c r="G262" s="1" t="s">
        <v>129</v>
      </c>
      <c r="H262" s="1"/>
      <c r="I262" s="1" t="s">
        <v>357</v>
      </c>
      <c r="J262" s="1">
        <v>19</v>
      </c>
      <c r="K262" s="1" t="str">
        <f>CONCATENATE(I262,J262)</f>
        <v>L19</v>
      </c>
      <c r="L262" s="1" t="s">
        <v>361</v>
      </c>
      <c r="M262" s="1">
        <v>340</v>
      </c>
      <c r="N262">
        <v>302</v>
      </c>
      <c r="O262" s="7" t="s">
        <v>369</v>
      </c>
      <c r="Q262" s="1" t="s">
        <v>254</v>
      </c>
      <c r="R262" s="15" t="s">
        <v>675</v>
      </c>
      <c r="T262" s="2" t="s">
        <v>129</v>
      </c>
      <c r="U262" s="2">
        <v>24.01</v>
      </c>
      <c r="V262" s="15" t="s">
        <v>1010</v>
      </c>
      <c r="W262" s="18" t="e">
        <f>T262-U262</f>
        <v>#VALUE!</v>
      </c>
      <c r="X262" s="15"/>
      <c r="Y262" s="15"/>
      <c r="Z262" s="1" t="s">
        <v>129</v>
      </c>
      <c r="AA262" s="15"/>
      <c r="AB262" s="15"/>
      <c r="AC262" s="15"/>
      <c r="AD262" s="15"/>
      <c r="AE262" s="15"/>
      <c r="AF262" s="15"/>
      <c r="AG262" s="29"/>
      <c r="AH262" s="1" t="s">
        <v>129</v>
      </c>
      <c r="AJ262" s="7" t="s">
        <v>1050</v>
      </c>
      <c r="AL262" s="1" t="s">
        <v>254</v>
      </c>
      <c r="AM262" s="15" t="s">
        <v>675</v>
      </c>
      <c r="AN262" t="b">
        <f t="shared" si="2"/>
        <v>1</v>
      </c>
    </row>
    <row r="263" spans="1:40" ht="26.25">
      <c r="A263" s="1">
        <v>331</v>
      </c>
      <c r="B263" s="1" t="s">
        <v>293</v>
      </c>
      <c r="C263" s="2">
        <v>22.759</v>
      </c>
      <c r="D263" s="2">
        <v>22.535</v>
      </c>
      <c r="E263" s="8" t="s">
        <v>203</v>
      </c>
      <c r="F263" s="8" t="s">
        <v>203</v>
      </c>
      <c r="G263" s="1" t="s">
        <v>203</v>
      </c>
      <c r="H263" s="1"/>
      <c r="I263" s="1" t="s">
        <v>4</v>
      </c>
      <c r="J263" s="1">
        <v>19</v>
      </c>
      <c r="K263" s="1" t="str">
        <f>CONCATENATE(I263,J263)</f>
        <v>N19</v>
      </c>
      <c r="L263" s="1" t="s">
        <v>361</v>
      </c>
      <c r="M263" s="1">
        <v>342</v>
      </c>
      <c r="N263">
        <v>303</v>
      </c>
      <c r="O263" s="7" t="s">
        <v>369</v>
      </c>
      <c r="Q263" s="1" t="s">
        <v>293</v>
      </c>
      <c r="R263" s="15" t="s">
        <v>532</v>
      </c>
      <c r="T263" s="2">
        <v>22.759</v>
      </c>
      <c r="U263" s="2">
        <v>22.535</v>
      </c>
      <c r="V263" s="15" t="s">
        <v>867</v>
      </c>
      <c r="W263" s="18">
        <f>T263-U263</f>
        <v>0.2240000000000002</v>
      </c>
      <c r="X263" s="30">
        <v>486.8</v>
      </c>
      <c r="Y263" s="30">
        <f>(X263-122)/3</f>
        <v>121.60000000000001</v>
      </c>
      <c r="Z263" s="1" t="s">
        <v>203</v>
      </c>
      <c r="AA263" s="15"/>
      <c r="AB263" s="15"/>
      <c r="AC263" s="15"/>
      <c r="AD263" s="15"/>
      <c r="AE263" s="15">
        <v>3767</v>
      </c>
      <c r="AF263" s="15"/>
      <c r="AG263" s="29"/>
      <c r="AH263" s="1" t="s">
        <v>86</v>
      </c>
      <c r="AJ263" s="7" t="s">
        <v>1050</v>
      </c>
      <c r="AL263" s="1" t="s">
        <v>293</v>
      </c>
      <c r="AM263" s="15" t="s">
        <v>532</v>
      </c>
      <c r="AN263" t="b">
        <f t="shared" si="2"/>
        <v>1</v>
      </c>
    </row>
    <row r="264" spans="1:40" ht="26.25">
      <c r="A264" s="1">
        <v>379</v>
      </c>
      <c r="B264" s="1" t="s">
        <v>332</v>
      </c>
      <c r="C264" s="2">
        <v>23.597000000000001</v>
      </c>
      <c r="D264" s="2">
        <v>23.373000000000001</v>
      </c>
      <c r="E264" s="8" t="s">
        <v>203</v>
      </c>
      <c r="F264" s="8" t="s">
        <v>203</v>
      </c>
      <c r="G264" s="1" t="s">
        <v>203</v>
      </c>
      <c r="H264" s="1"/>
      <c r="I264" s="1" t="s">
        <v>355</v>
      </c>
      <c r="J264" s="1">
        <v>19</v>
      </c>
      <c r="K264" s="1" t="str">
        <f>CONCATENATE(I264,J264)</f>
        <v>P19</v>
      </c>
      <c r="L264" s="1" t="s">
        <v>361</v>
      </c>
      <c r="M264" s="1">
        <v>344</v>
      </c>
      <c r="N264">
        <v>304</v>
      </c>
      <c r="O264" s="7" t="s">
        <v>369</v>
      </c>
      <c r="Q264" s="1" t="s">
        <v>332</v>
      </c>
      <c r="R264" s="15" t="s">
        <v>533</v>
      </c>
      <c r="T264" s="2">
        <v>23.597000000000001</v>
      </c>
      <c r="U264" s="2">
        <v>23.373000000000001</v>
      </c>
      <c r="V264" s="15" t="s">
        <v>868</v>
      </c>
      <c r="W264" s="18">
        <f>T264-U264</f>
        <v>0.2240000000000002</v>
      </c>
      <c r="X264" s="30">
        <v>472.07</v>
      </c>
      <c r="Y264" s="30">
        <f>(X264-122)/3</f>
        <v>116.69</v>
      </c>
      <c r="Z264" s="1" t="s">
        <v>203</v>
      </c>
      <c r="AA264" s="15"/>
      <c r="AB264" s="15"/>
      <c r="AC264" s="15"/>
      <c r="AD264" s="15"/>
      <c r="AE264" s="15">
        <v>3741</v>
      </c>
      <c r="AF264" s="15"/>
      <c r="AG264" s="29"/>
      <c r="AH264" s="1" t="s">
        <v>86</v>
      </c>
      <c r="AJ264" s="7" t="s">
        <v>1050</v>
      </c>
      <c r="AL264" s="1" t="s">
        <v>332</v>
      </c>
      <c r="AM264" s="15" t="s">
        <v>533</v>
      </c>
      <c r="AN264" t="b">
        <f t="shared" si="2"/>
        <v>1</v>
      </c>
    </row>
    <row r="265" spans="1:40" ht="26.25">
      <c r="A265" s="1">
        <v>20</v>
      </c>
      <c r="B265" s="1" t="s">
        <v>22</v>
      </c>
      <c r="C265" s="2">
        <v>24.178000000000001</v>
      </c>
      <c r="D265" s="2">
        <v>24.048999999999999</v>
      </c>
      <c r="E265" s="8" t="s">
        <v>203</v>
      </c>
      <c r="F265" s="8" t="s">
        <v>203</v>
      </c>
      <c r="G265" s="1" t="s">
        <v>203</v>
      </c>
      <c r="H265" s="1"/>
      <c r="I265" s="1" t="s">
        <v>342</v>
      </c>
      <c r="J265" s="1">
        <v>20</v>
      </c>
      <c r="K265" s="1" t="str">
        <f>CONCATENATE(I265,J265)</f>
        <v>A20</v>
      </c>
      <c r="L265" s="1" t="s">
        <v>360</v>
      </c>
      <c r="M265" s="1">
        <v>249</v>
      </c>
      <c r="N265">
        <v>305</v>
      </c>
      <c r="O265" s="7" t="s">
        <v>369</v>
      </c>
      <c r="Q265" s="1" t="s">
        <v>22</v>
      </c>
      <c r="R265" s="15" t="s">
        <v>534</v>
      </c>
      <c r="T265" s="2">
        <v>24.178000000000001</v>
      </c>
      <c r="U265" s="2">
        <v>24.048999999999999</v>
      </c>
      <c r="V265" s="15" t="s">
        <v>869</v>
      </c>
      <c r="W265" s="18">
        <f>T265-U265</f>
        <v>0.12900000000000134</v>
      </c>
      <c r="X265" s="30">
        <v>478.3</v>
      </c>
      <c r="Y265" s="30">
        <f>(X265-122)/3</f>
        <v>118.76666666666667</v>
      </c>
      <c r="Z265" s="1" t="s">
        <v>203</v>
      </c>
      <c r="AA265" s="15"/>
      <c r="AB265" s="15"/>
      <c r="AC265" s="15"/>
      <c r="AD265" s="15"/>
      <c r="AE265" s="15">
        <v>2234</v>
      </c>
      <c r="AF265" s="15"/>
      <c r="AG265" s="29"/>
      <c r="AH265" s="1" t="s">
        <v>86</v>
      </c>
      <c r="AJ265" s="7" t="s">
        <v>1050</v>
      </c>
      <c r="AL265" s="1" t="s">
        <v>22</v>
      </c>
      <c r="AM265" s="15" t="s">
        <v>534</v>
      </c>
      <c r="AN265" t="b">
        <f t="shared" si="2"/>
        <v>1</v>
      </c>
    </row>
    <row r="266" spans="1:40" ht="26.25">
      <c r="A266" s="1">
        <v>68</v>
      </c>
      <c r="B266" s="1" t="s">
        <v>66</v>
      </c>
      <c r="C266" s="2" t="s">
        <v>129</v>
      </c>
      <c r="D266" s="2">
        <v>24.006</v>
      </c>
      <c r="E266" s="8" t="s">
        <v>129</v>
      </c>
      <c r="F266" s="8" t="s">
        <v>203</v>
      </c>
      <c r="G266" s="1" t="s">
        <v>129</v>
      </c>
      <c r="H266" s="1"/>
      <c r="I266" s="1" t="s">
        <v>344</v>
      </c>
      <c r="J266" s="1">
        <v>20</v>
      </c>
      <c r="K266" s="1" t="str">
        <f>CONCATENATE(I266,J266)</f>
        <v>C20</v>
      </c>
      <c r="L266" s="1" t="s">
        <v>360</v>
      </c>
      <c r="M266" s="1">
        <v>251</v>
      </c>
      <c r="N266">
        <v>306</v>
      </c>
      <c r="O266" s="7" t="s">
        <v>369</v>
      </c>
      <c r="Q266" s="1" t="s">
        <v>66</v>
      </c>
      <c r="R266" s="15" t="s">
        <v>676</v>
      </c>
      <c r="T266" s="2" t="s">
        <v>129</v>
      </c>
      <c r="U266" s="2">
        <v>24.006</v>
      </c>
      <c r="V266" s="15" t="s">
        <v>1011</v>
      </c>
      <c r="W266" s="18" t="e">
        <f>T266-U266</f>
        <v>#VALUE!</v>
      </c>
      <c r="X266" s="15"/>
      <c r="Y266" s="15"/>
      <c r="Z266" s="1" t="s">
        <v>129</v>
      </c>
      <c r="AA266" s="15"/>
      <c r="AB266" s="15"/>
      <c r="AC266" s="15"/>
      <c r="AD266" s="15"/>
      <c r="AE266" s="15"/>
      <c r="AF266" s="15"/>
      <c r="AG266" s="29"/>
      <c r="AH266" s="1" t="s">
        <v>86</v>
      </c>
      <c r="AJ266" s="7" t="s">
        <v>1050</v>
      </c>
      <c r="AL266" s="1" t="s">
        <v>66</v>
      </c>
      <c r="AM266" s="15" t="s">
        <v>676</v>
      </c>
      <c r="AN266" t="b">
        <f t="shared" si="2"/>
        <v>1</v>
      </c>
    </row>
    <row r="267" spans="1:40" ht="26.25">
      <c r="A267" s="1">
        <v>116</v>
      </c>
      <c r="B267" s="1" t="s">
        <v>110</v>
      </c>
      <c r="C267" s="2">
        <v>22.879000000000001</v>
      </c>
      <c r="D267" s="2">
        <v>22.617999999999999</v>
      </c>
      <c r="E267" s="8" t="s">
        <v>203</v>
      </c>
      <c r="F267" s="8" t="s">
        <v>203</v>
      </c>
      <c r="G267" s="1" t="s">
        <v>203</v>
      </c>
      <c r="H267" s="1"/>
      <c r="I267" s="1" t="s">
        <v>346</v>
      </c>
      <c r="J267" s="1">
        <v>20</v>
      </c>
      <c r="K267" s="1" t="str">
        <f>CONCATENATE(I267,J267)</f>
        <v>E20</v>
      </c>
      <c r="L267" s="1" t="s">
        <v>360</v>
      </c>
      <c r="M267" s="1">
        <v>253</v>
      </c>
      <c r="N267">
        <v>307</v>
      </c>
      <c r="O267" s="7" t="s">
        <v>369</v>
      </c>
      <c r="Q267" s="1" t="s">
        <v>110</v>
      </c>
      <c r="R267" s="15" t="s">
        <v>535</v>
      </c>
      <c r="T267" s="2">
        <v>22.879000000000001</v>
      </c>
      <c r="U267" s="2">
        <v>22.617999999999999</v>
      </c>
      <c r="V267" s="15" t="s">
        <v>870</v>
      </c>
      <c r="W267" s="18">
        <f>T267-U267</f>
        <v>0.26100000000000279</v>
      </c>
      <c r="X267" s="30">
        <v>478.38</v>
      </c>
      <c r="Y267" s="30">
        <f>(X267-122)/3</f>
        <v>118.79333333333334</v>
      </c>
      <c r="Z267" s="1" t="s">
        <v>203</v>
      </c>
      <c r="AA267" s="15"/>
      <c r="AB267" s="15"/>
      <c r="AC267" s="15"/>
      <c r="AD267" s="15"/>
      <c r="AE267" s="15">
        <v>3674</v>
      </c>
      <c r="AF267" s="15"/>
      <c r="AG267" s="29"/>
      <c r="AH267" s="1" t="s">
        <v>86</v>
      </c>
      <c r="AJ267" s="7" t="s">
        <v>1050</v>
      </c>
      <c r="AL267" s="1" t="s">
        <v>110</v>
      </c>
      <c r="AM267" s="15" t="s">
        <v>535</v>
      </c>
      <c r="AN267" t="b">
        <f t="shared" si="2"/>
        <v>1</v>
      </c>
    </row>
    <row r="268" spans="1:40" ht="26.25">
      <c r="A268" s="1">
        <v>164</v>
      </c>
      <c r="B268" s="1" t="s">
        <v>153</v>
      </c>
      <c r="C268" s="2">
        <v>31.463999999999999</v>
      </c>
      <c r="D268" s="2">
        <v>23.934999999999999</v>
      </c>
      <c r="E268" s="8" t="s">
        <v>203</v>
      </c>
      <c r="F268" s="8" t="s">
        <v>203</v>
      </c>
      <c r="G268" s="1" t="s">
        <v>203</v>
      </c>
      <c r="H268" s="1"/>
      <c r="I268" s="1" t="s">
        <v>348</v>
      </c>
      <c r="J268" s="1">
        <v>20</v>
      </c>
      <c r="K268" s="1" t="str">
        <f>CONCATENATE(I268,J268)</f>
        <v>G20</v>
      </c>
      <c r="L268" s="1" t="s">
        <v>360</v>
      </c>
      <c r="M268" s="1">
        <v>255</v>
      </c>
      <c r="N268">
        <v>308</v>
      </c>
      <c r="O268" s="7" t="s">
        <v>369</v>
      </c>
      <c r="Q268" s="1" t="s">
        <v>153</v>
      </c>
      <c r="R268" s="15" t="s">
        <v>536</v>
      </c>
      <c r="T268" s="2">
        <v>31.463999999999999</v>
      </c>
      <c r="U268" s="2">
        <v>23.934999999999999</v>
      </c>
      <c r="V268" s="15" t="s">
        <v>871</v>
      </c>
      <c r="W268" s="18">
        <f>T268-U268</f>
        <v>7.5289999999999999</v>
      </c>
      <c r="X268" s="15"/>
      <c r="Y268" s="15"/>
      <c r="Z268" s="1" t="s">
        <v>129</v>
      </c>
      <c r="AA268" s="15"/>
      <c r="AB268" s="15"/>
      <c r="AC268" s="15"/>
      <c r="AD268" s="15"/>
      <c r="AE268" s="15"/>
      <c r="AF268" s="15"/>
      <c r="AG268" s="29"/>
      <c r="AH268" s="1" t="s">
        <v>86</v>
      </c>
      <c r="AJ268" s="7" t="s">
        <v>1050</v>
      </c>
      <c r="AL268" s="1" t="s">
        <v>153</v>
      </c>
      <c r="AM268" s="15" t="s">
        <v>536</v>
      </c>
      <c r="AN268" t="b">
        <f t="shared" si="2"/>
        <v>1</v>
      </c>
    </row>
    <row r="269" spans="1:40" ht="26.25">
      <c r="A269" s="1">
        <v>212</v>
      </c>
      <c r="B269" s="1" t="s">
        <v>196</v>
      </c>
      <c r="C269" s="2" t="s">
        <v>129</v>
      </c>
      <c r="D269" s="2">
        <v>23.648</v>
      </c>
      <c r="E269" s="8" t="s">
        <v>129</v>
      </c>
      <c r="F269" s="8" t="s">
        <v>203</v>
      </c>
      <c r="G269" s="1" t="s">
        <v>129</v>
      </c>
      <c r="H269" s="1"/>
      <c r="I269" s="1" t="s">
        <v>350</v>
      </c>
      <c r="J269" s="1">
        <v>20</v>
      </c>
      <c r="K269" s="1" t="str">
        <f>CONCATENATE(I269,J269)</f>
        <v>I20</v>
      </c>
      <c r="L269" s="1" t="s">
        <v>361</v>
      </c>
      <c r="M269" s="1">
        <v>345</v>
      </c>
      <c r="N269">
        <v>309</v>
      </c>
      <c r="O269" s="7" t="s">
        <v>369</v>
      </c>
      <c r="Q269" s="1" t="s">
        <v>196</v>
      </c>
      <c r="R269" s="15" t="s">
        <v>677</v>
      </c>
      <c r="T269" s="2" t="s">
        <v>129</v>
      </c>
      <c r="U269" s="2">
        <v>23.648</v>
      </c>
      <c r="V269" s="15" t="s">
        <v>1012</v>
      </c>
      <c r="W269" s="18" t="e">
        <f>T269-U269</f>
        <v>#VALUE!</v>
      </c>
      <c r="X269" s="15"/>
      <c r="Y269" s="15"/>
      <c r="Z269" s="1" t="s">
        <v>129</v>
      </c>
      <c r="AA269" s="15"/>
      <c r="AB269" s="15"/>
      <c r="AC269" s="15"/>
      <c r="AD269" s="15"/>
      <c r="AE269" s="15"/>
      <c r="AF269" s="15"/>
      <c r="AG269" s="29"/>
      <c r="AH269" s="1" t="s">
        <v>129</v>
      </c>
      <c r="AJ269" s="7" t="s">
        <v>1050</v>
      </c>
      <c r="AL269" s="1" t="s">
        <v>196</v>
      </c>
      <c r="AM269" s="15" t="s">
        <v>677</v>
      </c>
      <c r="AN269" t="b">
        <f t="shared" si="2"/>
        <v>1</v>
      </c>
    </row>
    <row r="270" spans="1:40" ht="26.25">
      <c r="A270" s="1">
        <v>260</v>
      </c>
      <c r="B270" s="1" t="s">
        <v>237</v>
      </c>
      <c r="C270" s="2">
        <v>29.530999999999999</v>
      </c>
      <c r="D270" s="2">
        <v>23.806999999999999</v>
      </c>
      <c r="E270" s="8" t="s">
        <v>203</v>
      </c>
      <c r="F270" s="8" t="s">
        <v>203</v>
      </c>
      <c r="G270" s="1" t="s">
        <v>203</v>
      </c>
      <c r="H270" s="1"/>
      <c r="I270" s="1" t="s">
        <v>352</v>
      </c>
      <c r="J270" s="1">
        <v>20</v>
      </c>
      <c r="K270" s="1" t="str">
        <f>CONCATENATE(I270,J270)</f>
        <v>K20</v>
      </c>
      <c r="L270" s="1" t="s">
        <v>361</v>
      </c>
      <c r="M270" s="1">
        <v>347</v>
      </c>
      <c r="N270">
        <v>310</v>
      </c>
      <c r="O270" s="7" t="s">
        <v>369</v>
      </c>
      <c r="Q270" s="1" t="s">
        <v>237</v>
      </c>
      <c r="R270" s="15" t="s">
        <v>537</v>
      </c>
      <c r="T270" s="2">
        <v>29.530999999999999</v>
      </c>
      <c r="U270" s="2">
        <v>23.806999999999999</v>
      </c>
      <c r="V270" s="15" t="s">
        <v>872</v>
      </c>
      <c r="W270" s="18">
        <f>T270-U270</f>
        <v>5.7240000000000002</v>
      </c>
      <c r="X270" s="15"/>
      <c r="Y270" s="15"/>
      <c r="Z270" s="1" t="s">
        <v>129</v>
      </c>
      <c r="AA270" s="15"/>
      <c r="AB270" s="15"/>
      <c r="AC270" s="15"/>
      <c r="AD270" s="15"/>
      <c r="AE270" s="15"/>
      <c r="AF270" s="15"/>
      <c r="AG270" s="29"/>
      <c r="AH270" s="1" t="s">
        <v>86</v>
      </c>
      <c r="AJ270" s="7" t="s">
        <v>1050</v>
      </c>
      <c r="AL270" s="1" t="s">
        <v>237</v>
      </c>
      <c r="AM270" s="15" t="s">
        <v>537</v>
      </c>
      <c r="AN270" t="b">
        <f t="shared" si="2"/>
        <v>1</v>
      </c>
    </row>
    <row r="271" spans="1:40" ht="26.25">
      <c r="A271" s="1">
        <v>308</v>
      </c>
      <c r="B271" s="1" t="s">
        <v>276</v>
      </c>
      <c r="C271" s="2">
        <v>24.509</v>
      </c>
      <c r="D271" s="2">
        <v>24.437999999999999</v>
      </c>
      <c r="E271" s="8" t="s">
        <v>203</v>
      </c>
      <c r="F271" s="8" t="s">
        <v>203</v>
      </c>
      <c r="G271" s="1" t="s">
        <v>203</v>
      </c>
      <c r="H271" s="1"/>
      <c r="I271" s="1" t="s">
        <v>353</v>
      </c>
      <c r="J271" s="1">
        <v>20</v>
      </c>
      <c r="K271" s="1" t="str">
        <f>CONCATENATE(I271,J271)</f>
        <v>M20</v>
      </c>
      <c r="L271" s="1" t="s">
        <v>361</v>
      </c>
      <c r="M271" s="1">
        <v>349</v>
      </c>
      <c r="N271">
        <v>311</v>
      </c>
      <c r="O271" s="7" t="s">
        <v>369</v>
      </c>
      <c r="Q271" s="1" t="s">
        <v>276</v>
      </c>
      <c r="R271" s="15" t="s">
        <v>538</v>
      </c>
      <c r="T271" s="2">
        <v>24.509</v>
      </c>
      <c r="U271" s="2">
        <v>24.437999999999999</v>
      </c>
      <c r="V271" s="15" t="s">
        <v>873</v>
      </c>
      <c r="W271" s="18">
        <f>T271-U271</f>
        <v>7.1000000000001506E-2</v>
      </c>
      <c r="X271" s="30">
        <v>481.13</v>
      </c>
      <c r="Y271" s="30">
        <f>(X271-122)/3</f>
        <v>119.71</v>
      </c>
      <c r="Z271" s="1" t="s">
        <v>203</v>
      </c>
      <c r="AA271" s="15"/>
      <c r="AB271" s="15"/>
      <c r="AC271" s="15"/>
      <c r="AD271" s="15"/>
      <c r="AE271" s="15">
        <v>2489</v>
      </c>
      <c r="AF271" s="15"/>
      <c r="AG271" s="29"/>
      <c r="AH271" s="1" t="s">
        <v>129</v>
      </c>
      <c r="AJ271" s="7" t="s">
        <v>1050</v>
      </c>
      <c r="AL271" s="1" t="s">
        <v>276</v>
      </c>
      <c r="AM271" s="15" t="s">
        <v>538</v>
      </c>
      <c r="AN271" t="b">
        <f t="shared" si="2"/>
        <v>1</v>
      </c>
    </row>
    <row r="272" spans="1:40" ht="26.25">
      <c r="A272" s="1">
        <v>356</v>
      </c>
      <c r="B272" s="1" t="s">
        <v>315</v>
      </c>
      <c r="C272" s="2">
        <v>23.49</v>
      </c>
      <c r="D272" s="2">
        <v>23.550999999999998</v>
      </c>
      <c r="E272" s="8" t="s">
        <v>203</v>
      </c>
      <c r="F272" s="8" t="s">
        <v>203</v>
      </c>
      <c r="G272" s="1" t="s">
        <v>203</v>
      </c>
      <c r="H272" s="1"/>
      <c r="I272" s="1" t="s">
        <v>354</v>
      </c>
      <c r="J272" s="1">
        <v>20</v>
      </c>
      <c r="K272" s="1" t="str">
        <f>CONCATENATE(I272,J272)</f>
        <v>O20</v>
      </c>
      <c r="L272" s="1" t="s">
        <v>361</v>
      </c>
      <c r="M272" s="1">
        <v>351</v>
      </c>
      <c r="N272">
        <v>312</v>
      </c>
      <c r="O272" s="7" t="s">
        <v>369</v>
      </c>
      <c r="Q272" s="1" t="s">
        <v>315</v>
      </c>
      <c r="R272" s="15" t="s">
        <v>539</v>
      </c>
      <c r="T272" s="2">
        <v>23.49</v>
      </c>
      <c r="U272" s="2">
        <v>23.550999999999998</v>
      </c>
      <c r="V272" s="15" t="s">
        <v>874</v>
      </c>
      <c r="W272" s="18">
        <f>T272-U272</f>
        <v>-6.0999999999999943E-2</v>
      </c>
      <c r="X272" s="30">
        <v>472.21</v>
      </c>
      <c r="Y272" s="30">
        <f>(X272-122)/3</f>
        <v>116.73666666666666</v>
      </c>
      <c r="Z272" s="1" t="s">
        <v>203</v>
      </c>
      <c r="AA272" s="15"/>
      <c r="AB272" s="15"/>
      <c r="AC272" s="15"/>
      <c r="AD272" s="15"/>
      <c r="AE272" s="15">
        <v>3340</v>
      </c>
      <c r="AF272" s="15"/>
      <c r="AG272" s="29"/>
      <c r="AH272" s="1" t="s">
        <v>86</v>
      </c>
      <c r="AJ272" s="7" t="s">
        <v>1050</v>
      </c>
      <c r="AL272" s="1" t="s">
        <v>315</v>
      </c>
      <c r="AM272" s="15" t="s">
        <v>539</v>
      </c>
      <c r="AN272" t="b">
        <f t="shared" si="2"/>
        <v>1</v>
      </c>
    </row>
    <row r="273" spans="1:40" ht="26.25">
      <c r="A273" s="1">
        <v>44</v>
      </c>
      <c r="B273" s="1" t="s">
        <v>44</v>
      </c>
      <c r="C273" s="2">
        <v>24.619</v>
      </c>
      <c r="D273" s="2">
        <v>24.401</v>
      </c>
      <c r="E273" s="8" t="s">
        <v>203</v>
      </c>
      <c r="F273" s="8" t="s">
        <v>203</v>
      </c>
      <c r="G273" s="1" t="s">
        <v>203</v>
      </c>
      <c r="H273" s="1"/>
      <c r="I273" s="1" t="s">
        <v>343</v>
      </c>
      <c r="J273" s="1">
        <v>20</v>
      </c>
      <c r="K273" s="1" t="str">
        <f>CONCATENATE(I273,J273)</f>
        <v>B20</v>
      </c>
      <c r="L273" s="1" t="s">
        <v>360</v>
      </c>
      <c r="M273" s="1">
        <v>250</v>
      </c>
      <c r="N273">
        <v>313</v>
      </c>
      <c r="O273" s="7" t="s">
        <v>369</v>
      </c>
      <c r="Q273" s="1" t="s">
        <v>44</v>
      </c>
      <c r="R273" s="15" t="s">
        <v>540</v>
      </c>
      <c r="T273" s="2">
        <v>24.619</v>
      </c>
      <c r="U273" s="2">
        <v>24.401</v>
      </c>
      <c r="V273" s="15" t="s">
        <v>875</v>
      </c>
      <c r="W273" s="18">
        <f>T273-U273</f>
        <v>0.21799999999999997</v>
      </c>
      <c r="X273" s="30">
        <v>481.19</v>
      </c>
      <c r="Y273" s="30">
        <f>(X273-122)/3</f>
        <v>119.73</v>
      </c>
      <c r="Z273" s="1" t="s">
        <v>203</v>
      </c>
      <c r="AA273" s="15"/>
      <c r="AB273" s="15"/>
      <c r="AC273" s="15"/>
      <c r="AD273" s="15"/>
      <c r="AE273" s="15">
        <v>1905</v>
      </c>
      <c r="AF273" s="15"/>
      <c r="AG273" s="29"/>
      <c r="AH273" s="1" t="s">
        <v>129</v>
      </c>
      <c r="AJ273" s="7" t="s">
        <v>1050</v>
      </c>
      <c r="AL273" s="1" t="s">
        <v>44</v>
      </c>
      <c r="AM273" s="15" t="s">
        <v>540</v>
      </c>
      <c r="AN273" t="b">
        <f t="shared" si="2"/>
        <v>1</v>
      </c>
    </row>
    <row r="274" spans="1:40" ht="26.25">
      <c r="A274" s="1">
        <v>92</v>
      </c>
      <c r="B274" s="1" t="s">
        <v>88</v>
      </c>
      <c r="C274" s="2">
        <v>25.081</v>
      </c>
      <c r="D274" s="2">
        <v>24.882000000000001</v>
      </c>
      <c r="E274" s="8" t="s">
        <v>203</v>
      </c>
      <c r="F274" s="8" t="s">
        <v>203</v>
      </c>
      <c r="G274" s="1" t="s">
        <v>203</v>
      </c>
      <c r="H274" s="1"/>
      <c r="I274" s="1" t="s">
        <v>345</v>
      </c>
      <c r="J274" s="1">
        <v>20</v>
      </c>
      <c r="K274" s="1" t="str">
        <f>CONCATENATE(I274,J274)</f>
        <v>D20</v>
      </c>
      <c r="L274" s="1" t="s">
        <v>360</v>
      </c>
      <c r="M274" s="1">
        <v>252</v>
      </c>
      <c r="N274">
        <v>314</v>
      </c>
      <c r="O274" s="7" t="s">
        <v>369</v>
      </c>
      <c r="Q274" s="1" t="s">
        <v>88</v>
      </c>
      <c r="R274" s="15" t="s">
        <v>541</v>
      </c>
      <c r="T274" s="2">
        <v>25.081</v>
      </c>
      <c r="U274" s="2">
        <v>24.882000000000001</v>
      </c>
      <c r="V274" s="15" t="s">
        <v>876</v>
      </c>
      <c r="W274" s="18">
        <f>T274-U274</f>
        <v>0.19899999999999807</v>
      </c>
      <c r="X274" s="30">
        <v>481.25</v>
      </c>
      <c r="Y274" s="30">
        <f>(X274-122)/3</f>
        <v>119.75</v>
      </c>
      <c r="Z274" s="1" t="s">
        <v>203</v>
      </c>
      <c r="AA274" s="15"/>
      <c r="AB274" s="15"/>
      <c r="AC274" s="15"/>
      <c r="AD274" s="15"/>
      <c r="AE274" s="15">
        <v>2111</v>
      </c>
      <c r="AF274" s="15"/>
      <c r="AG274" s="29"/>
      <c r="AH274" s="1" t="s">
        <v>86</v>
      </c>
      <c r="AJ274" s="7" t="s">
        <v>1050</v>
      </c>
      <c r="AL274" s="1" t="s">
        <v>88</v>
      </c>
      <c r="AM274" s="15" t="s">
        <v>541</v>
      </c>
      <c r="AN274" t="b">
        <f t="shared" si="2"/>
        <v>1</v>
      </c>
    </row>
    <row r="275" spans="1:40" ht="26.25">
      <c r="A275" s="1">
        <v>140</v>
      </c>
      <c r="B275" s="1" t="s">
        <v>131</v>
      </c>
      <c r="C275" s="2">
        <v>33.923000000000002</v>
      </c>
      <c r="D275" s="2">
        <v>23.861999999999998</v>
      </c>
      <c r="E275" s="8" t="s">
        <v>366</v>
      </c>
      <c r="F275" s="8" t="s">
        <v>203</v>
      </c>
      <c r="G275" s="1" t="s">
        <v>129</v>
      </c>
      <c r="H275" s="1"/>
      <c r="I275" s="1" t="s">
        <v>347</v>
      </c>
      <c r="J275" s="1">
        <v>20</v>
      </c>
      <c r="K275" s="1" t="str">
        <f>CONCATENATE(I275,J275)</f>
        <v>F20</v>
      </c>
      <c r="L275" s="1" t="s">
        <v>360</v>
      </c>
      <c r="M275" s="1">
        <v>254</v>
      </c>
      <c r="N275">
        <v>315</v>
      </c>
      <c r="O275" s="7" t="s">
        <v>369</v>
      </c>
      <c r="Q275" s="1" t="s">
        <v>131</v>
      </c>
      <c r="R275" s="15" t="s">
        <v>623</v>
      </c>
      <c r="T275" s="2">
        <v>33.923000000000002</v>
      </c>
      <c r="U275" s="2">
        <v>23.861999999999998</v>
      </c>
      <c r="V275" s="15" t="s">
        <v>958</v>
      </c>
      <c r="W275" s="18">
        <f>T275-U275</f>
        <v>10.061000000000003</v>
      </c>
      <c r="X275" s="15"/>
      <c r="Y275" s="15"/>
      <c r="Z275" s="1" t="s">
        <v>129</v>
      </c>
      <c r="AA275" s="15"/>
      <c r="AB275" s="15"/>
      <c r="AC275" s="15"/>
      <c r="AD275" s="15"/>
      <c r="AE275" s="15"/>
      <c r="AF275" s="15"/>
      <c r="AG275" s="29"/>
      <c r="AH275" s="1" t="s">
        <v>129</v>
      </c>
      <c r="AJ275" s="7" t="s">
        <v>1050</v>
      </c>
      <c r="AL275" s="1" t="s">
        <v>131</v>
      </c>
      <c r="AM275" s="15" t="s">
        <v>623</v>
      </c>
      <c r="AN275" t="b">
        <f t="shared" si="2"/>
        <v>1</v>
      </c>
    </row>
    <row r="276" spans="1:40" ht="26.25">
      <c r="A276" s="1">
        <v>188</v>
      </c>
      <c r="B276" s="1" t="s">
        <v>174</v>
      </c>
      <c r="C276" s="2">
        <v>24.853999999999999</v>
      </c>
      <c r="D276" s="2">
        <v>24.731999999999999</v>
      </c>
      <c r="E276" s="8" t="s">
        <v>203</v>
      </c>
      <c r="F276" s="8" t="s">
        <v>203</v>
      </c>
      <c r="G276" s="1" t="s">
        <v>203</v>
      </c>
      <c r="H276" s="1"/>
      <c r="I276" s="1" t="s">
        <v>349</v>
      </c>
      <c r="J276" s="1">
        <v>20</v>
      </c>
      <c r="K276" s="1" t="str">
        <f>CONCATENATE(I276,J276)</f>
        <v>H20</v>
      </c>
      <c r="L276" s="1" t="s">
        <v>360</v>
      </c>
      <c r="M276" s="1">
        <v>256</v>
      </c>
      <c r="N276">
        <v>316</v>
      </c>
      <c r="O276" s="7" t="s">
        <v>369</v>
      </c>
      <c r="Q276" s="1" t="s">
        <v>174</v>
      </c>
      <c r="R276" s="15" t="s">
        <v>542</v>
      </c>
      <c r="T276" s="2">
        <v>24.853999999999999</v>
      </c>
      <c r="U276" s="2">
        <v>24.731999999999999</v>
      </c>
      <c r="V276" s="15" t="s">
        <v>877</v>
      </c>
      <c r="W276" s="18">
        <f>T276-U276</f>
        <v>0.12199999999999989</v>
      </c>
      <c r="X276" s="30">
        <v>484.29</v>
      </c>
      <c r="Y276" s="30">
        <f>(X276-122)/3</f>
        <v>120.76333333333334</v>
      </c>
      <c r="Z276" s="1" t="s">
        <v>203</v>
      </c>
      <c r="AA276" s="15"/>
      <c r="AB276" s="15"/>
      <c r="AC276" s="15"/>
      <c r="AD276" s="15"/>
      <c r="AE276" s="15">
        <v>2303</v>
      </c>
      <c r="AF276" s="15"/>
      <c r="AG276" s="29"/>
      <c r="AH276" s="1" t="s">
        <v>86</v>
      </c>
      <c r="AJ276" s="7" t="s">
        <v>1050</v>
      </c>
      <c r="AL276" s="1" t="s">
        <v>174</v>
      </c>
      <c r="AM276" s="15" t="s">
        <v>542</v>
      </c>
      <c r="AN276" t="b">
        <f t="shared" si="2"/>
        <v>1</v>
      </c>
    </row>
    <row r="277" spans="1:40" ht="26.25">
      <c r="A277" s="1">
        <v>236</v>
      </c>
      <c r="B277" s="1" t="s">
        <v>215</v>
      </c>
      <c r="C277" s="2">
        <v>25.651</v>
      </c>
      <c r="D277" s="2">
        <v>25.58</v>
      </c>
      <c r="E277" s="8" t="s">
        <v>203</v>
      </c>
      <c r="F277" s="8" t="s">
        <v>203</v>
      </c>
      <c r="G277" s="1" t="s">
        <v>203</v>
      </c>
      <c r="H277" s="1"/>
      <c r="I277" s="1" t="s">
        <v>351</v>
      </c>
      <c r="J277" s="1">
        <v>20</v>
      </c>
      <c r="K277" s="1" t="str">
        <f>CONCATENATE(I277,J277)</f>
        <v>J20</v>
      </c>
      <c r="L277" s="1" t="s">
        <v>361</v>
      </c>
      <c r="M277" s="1">
        <v>346</v>
      </c>
      <c r="N277">
        <v>317</v>
      </c>
      <c r="O277" s="7" t="s">
        <v>369</v>
      </c>
      <c r="Q277" s="1" t="s">
        <v>215</v>
      </c>
      <c r="R277" s="15" t="s">
        <v>543</v>
      </c>
      <c r="T277" s="2">
        <v>25.651</v>
      </c>
      <c r="U277" s="2">
        <v>25.58</v>
      </c>
      <c r="V277" s="15" t="s">
        <v>878</v>
      </c>
      <c r="W277" s="18">
        <f>T277-U277</f>
        <v>7.1000000000001506E-2</v>
      </c>
      <c r="X277" s="30">
        <v>481.36</v>
      </c>
      <c r="Y277" s="30">
        <f>(X277-122)/3</f>
        <v>119.78666666666668</v>
      </c>
      <c r="Z277" s="1" t="s">
        <v>203</v>
      </c>
      <c r="AA277" s="15"/>
      <c r="AB277" s="15"/>
      <c r="AC277" s="15"/>
      <c r="AD277" s="15"/>
      <c r="AE277" s="15">
        <v>1934</v>
      </c>
      <c r="AF277" s="15"/>
      <c r="AG277" s="29"/>
      <c r="AH277" s="1" t="s">
        <v>129</v>
      </c>
      <c r="AJ277" s="7" t="s">
        <v>1050</v>
      </c>
      <c r="AL277" s="1" t="s">
        <v>215</v>
      </c>
      <c r="AM277" s="15" t="s">
        <v>543</v>
      </c>
      <c r="AN277" t="b">
        <f t="shared" si="2"/>
        <v>1</v>
      </c>
    </row>
    <row r="278" spans="1:40" ht="26.25">
      <c r="A278" s="1">
        <v>284</v>
      </c>
      <c r="B278" s="1" t="s">
        <v>255</v>
      </c>
      <c r="C278" s="2">
        <v>32.441000000000003</v>
      </c>
      <c r="D278" s="2">
        <v>25.138999999999999</v>
      </c>
      <c r="E278" s="8" t="s">
        <v>366</v>
      </c>
      <c r="F278" s="8" t="s">
        <v>203</v>
      </c>
      <c r="G278" s="1" t="s">
        <v>129</v>
      </c>
      <c r="H278" s="1"/>
      <c r="I278" s="1" t="s">
        <v>357</v>
      </c>
      <c r="J278" s="1">
        <v>20</v>
      </c>
      <c r="K278" s="1" t="str">
        <f>CONCATENATE(I278,J278)</f>
        <v>L20</v>
      </c>
      <c r="L278" s="1" t="s">
        <v>361</v>
      </c>
      <c r="M278" s="1">
        <v>348</v>
      </c>
      <c r="N278">
        <v>318</v>
      </c>
      <c r="O278" s="7" t="s">
        <v>369</v>
      </c>
      <c r="Q278" s="1" t="s">
        <v>255</v>
      </c>
      <c r="R278" s="15" t="s">
        <v>624</v>
      </c>
      <c r="T278" s="2">
        <v>32.441000000000003</v>
      </c>
      <c r="U278" s="2">
        <v>25.138999999999999</v>
      </c>
      <c r="V278" s="15" t="s">
        <v>959</v>
      </c>
      <c r="W278" s="18">
        <f>T278-U278</f>
        <v>7.3020000000000032</v>
      </c>
      <c r="X278" s="15"/>
      <c r="Y278" s="15"/>
      <c r="Z278" s="1" t="s">
        <v>129</v>
      </c>
      <c r="AA278" s="15"/>
      <c r="AB278" s="15"/>
      <c r="AC278" s="15"/>
      <c r="AD278" s="15"/>
      <c r="AE278" s="15"/>
      <c r="AF278" s="15"/>
      <c r="AG278" s="29"/>
      <c r="AH278" s="1" t="s">
        <v>129</v>
      </c>
      <c r="AJ278" s="7" t="s">
        <v>1050</v>
      </c>
      <c r="AL278" s="1" t="s">
        <v>255</v>
      </c>
      <c r="AM278" s="15" t="s">
        <v>624</v>
      </c>
      <c r="AN278" t="b">
        <f t="shared" si="2"/>
        <v>1</v>
      </c>
    </row>
    <row r="279" spans="1:40" ht="26.25">
      <c r="A279" s="1">
        <v>332</v>
      </c>
      <c r="B279" s="1" t="s">
        <v>294</v>
      </c>
      <c r="C279" s="2" t="s">
        <v>129</v>
      </c>
      <c r="D279" s="2">
        <v>25.306999999999999</v>
      </c>
      <c r="E279" s="8" t="s">
        <v>129</v>
      </c>
      <c r="F279" s="8" t="s">
        <v>203</v>
      </c>
      <c r="G279" s="1" t="s">
        <v>129</v>
      </c>
      <c r="H279" s="1"/>
      <c r="I279" s="1" t="s">
        <v>4</v>
      </c>
      <c r="J279" s="1">
        <v>20</v>
      </c>
      <c r="K279" s="1" t="str">
        <f>CONCATENATE(I279,J279)</f>
        <v>N20</v>
      </c>
      <c r="L279" s="1" t="s">
        <v>361</v>
      </c>
      <c r="M279" s="1">
        <v>350</v>
      </c>
      <c r="N279">
        <v>319</v>
      </c>
      <c r="O279" s="7" t="s">
        <v>369</v>
      </c>
      <c r="Q279" s="1" t="s">
        <v>294</v>
      </c>
      <c r="R279" s="15" t="s">
        <v>678</v>
      </c>
      <c r="T279" s="2" t="s">
        <v>129</v>
      </c>
      <c r="U279" s="2">
        <v>25.306999999999999</v>
      </c>
      <c r="V279" s="15" t="s">
        <v>1013</v>
      </c>
      <c r="W279" s="18" t="e">
        <f>T279-U279</f>
        <v>#VALUE!</v>
      </c>
      <c r="X279" s="15"/>
      <c r="Y279" s="15"/>
      <c r="Z279" s="1" t="s">
        <v>129</v>
      </c>
      <c r="AA279" s="15"/>
      <c r="AB279" s="15"/>
      <c r="AC279" s="15"/>
      <c r="AD279" s="15"/>
      <c r="AE279" s="15"/>
      <c r="AF279" s="15"/>
      <c r="AG279" s="29"/>
      <c r="AH279" s="1" t="s">
        <v>129</v>
      </c>
      <c r="AJ279" s="7" t="s">
        <v>1050</v>
      </c>
      <c r="AL279" s="1" t="s">
        <v>294</v>
      </c>
      <c r="AM279" s="15" t="s">
        <v>678</v>
      </c>
      <c r="AN279" t="b">
        <f t="shared" si="2"/>
        <v>1</v>
      </c>
    </row>
    <row r="280" spans="1:40" ht="26.25">
      <c r="A280" s="1">
        <v>380</v>
      </c>
      <c r="B280" s="1" t="s">
        <v>333</v>
      </c>
      <c r="C280" s="2" t="s">
        <v>129</v>
      </c>
      <c r="D280" s="2">
        <v>23.696999999999999</v>
      </c>
      <c r="E280" s="8" t="s">
        <v>129</v>
      </c>
      <c r="F280" s="8" t="s">
        <v>203</v>
      </c>
      <c r="G280" s="1" t="s">
        <v>129</v>
      </c>
      <c r="H280" s="1"/>
      <c r="I280" s="1" t="s">
        <v>355</v>
      </c>
      <c r="J280" s="1">
        <v>20</v>
      </c>
      <c r="K280" s="1" t="str">
        <f>CONCATENATE(I280,J280)</f>
        <v>P20</v>
      </c>
      <c r="L280" s="1" t="s">
        <v>361</v>
      </c>
      <c r="M280" s="1">
        <v>352</v>
      </c>
      <c r="N280">
        <v>320</v>
      </c>
      <c r="O280" s="7" t="s">
        <v>369</v>
      </c>
      <c r="Q280" s="1" t="s">
        <v>333</v>
      </c>
      <c r="R280" s="15" t="s">
        <v>679</v>
      </c>
      <c r="T280" s="2" t="s">
        <v>129</v>
      </c>
      <c r="U280" s="2">
        <v>23.696999999999999</v>
      </c>
      <c r="V280" s="15" t="s">
        <v>1014</v>
      </c>
      <c r="W280" s="18" t="e">
        <f>T280-U280</f>
        <v>#VALUE!</v>
      </c>
      <c r="X280" s="15"/>
      <c r="Y280" s="15"/>
      <c r="Z280" s="1" t="s">
        <v>129</v>
      </c>
      <c r="AA280" s="15"/>
      <c r="AB280" s="15"/>
      <c r="AC280" s="15"/>
      <c r="AD280" s="15"/>
      <c r="AE280" s="15"/>
      <c r="AF280" s="15"/>
      <c r="AG280" s="29"/>
      <c r="AH280" s="1" t="s">
        <v>86</v>
      </c>
      <c r="AJ280" s="7" t="s">
        <v>1050</v>
      </c>
      <c r="AL280" s="1" t="s">
        <v>333</v>
      </c>
      <c r="AM280" s="15" t="s">
        <v>679</v>
      </c>
      <c r="AN280" t="b">
        <f t="shared" si="2"/>
        <v>1</v>
      </c>
    </row>
    <row r="281" spans="1:40" ht="26.25">
      <c r="A281" s="1">
        <v>21</v>
      </c>
      <c r="B281" s="1" t="s">
        <v>23</v>
      </c>
      <c r="C281" s="2">
        <v>24.035</v>
      </c>
      <c r="D281" s="2">
        <v>23.776</v>
      </c>
      <c r="E281" s="8" t="s">
        <v>203</v>
      </c>
      <c r="F281" s="8" t="s">
        <v>203</v>
      </c>
      <c r="G281" s="1" t="s">
        <v>203</v>
      </c>
      <c r="H281" s="1"/>
      <c r="I281" s="1" t="s">
        <v>342</v>
      </c>
      <c r="J281" s="1">
        <v>21</v>
      </c>
      <c r="K281" s="1" t="str">
        <f>CONCATENATE(I281,J281)</f>
        <v>A21</v>
      </c>
      <c r="L281" s="1" t="s">
        <v>360</v>
      </c>
      <c r="M281" s="1">
        <v>257</v>
      </c>
      <c r="N281">
        <v>321</v>
      </c>
      <c r="O281" s="7" t="s">
        <v>369</v>
      </c>
      <c r="Q281" s="1" t="s">
        <v>23</v>
      </c>
      <c r="R281" s="15" t="s">
        <v>544</v>
      </c>
      <c r="T281" s="2">
        <v>24.035</v>
      </c>
      <c r="U281" s="2">
        <v>23.776</v>
      </c>
      <c r="V281" s="15" t="s">
        <v>879</v>
      </c>
      <c r="W281" s="18">
        <f>T281-U281</f>
        <v>0.25900000000000034</v>
      </c>
      <c r="X281" s="30">
        <v>486.99</v>
      </c>
      <c r="Y281" s="30">
        <f>(X281-122)/3</f>
        <v>121.66333333333334</v>
      </c>
      <c r="Z281" s="1" t="s">
        <v>203</v>
      </c>
      <c r="AA281" s="15"/>
      <c r="AB281" s="15"/>
      <c r="AC281" s="15"/>
      <c r="AD281" s="15"/>
      <c r="AE281" s="15">
        <v>2173</v>
      </c>
      <c r="AF281" s="15"/>
      <c r="AG281" s="29"/>
      <c r="AH281" s="1" t="s">
        <v>129</v>
      </c>
      <c r="AJ281" s="7" t="s">
        <v>1050</v>
      </c>
      <c r="AL281" s="1" t="s">
        <v>23</v>
      </c>
      <c r="AM281" s="15" t="s">
        <v>544</v>
      </c>
      <c r="AN281" t="b">
        <f t="shared" si="2"/>
        <v>1</v>
      </c>
    </row>
    <row r="282" spans="1:40" ht="26.25">
      <c r="A282" s="1">
        <v>69</v>
      </c>
      <c r="B282" s="1" t="s">
        <v>67</v>
      </c>
      <c r="C282" s="2">
        <v>23.222999999999999</v>
      </c>
      <c r="D282" s="2">
        <v>23.1</v>
      </c>
      <c r="E282" s="8" t="s">
        <v>203</v>
      </c>
      <c r="F282" s="8" t="s">
        <v>203</v>
      </c>
      <c r="G282" s="1" t="s">
        <v>203</v>
      </c>
      <c r="H282" s="1"/>
      <c r="I282" s="1" t="s">
        <v>344</v>
      </c>
      <c r="J282" s="1">
        <v>21</v>
      </c>
      <c r="K282" s="1" t="str">
        <f>CONCATENATE(I282,J282)</f>
        <v>C21</v>
      </c>
      <c r="L282" s="1" t="s">
        <v>360</v>
      </c>
      <c r="M282" s="1">
        <v>259</v>
      </c>
      <c r="N282">
        <v>322</v>
      </c>
      <c r="O282" s="7" t="s">
        <v>369</v>
      </c>
      <c r="Q282" s="1" t="s">
        <v>67</v>
      </c>
      <c r="R282" s="15" t="s">
        <v>545</v>
      </c>
      <c r="T282" s="2">
        <v>23.222999999999999</v>
      </c>
      <c r="U282" s="2">
        <v>23.1</v>
      </c>
      <c r="V282" s="15" t="s">
        <v>880</v>
      </c>
      <c r="W282" s="18">
        <f>T282-U282</f>
        <v>0.12299999999999756</v>
      </c>
      <c r="X282" s="30">
        <v>484.1</v>
      </c>
      <c r="Y282" s="30">
        <f>(X282-122)/3</f>
        <v>120.7</v>
      </c>
      <c r="Z282" s="1" t="s">
        <v>203</v>
      </c>
      <c r="AA282" s="15"/>
      <c r="AB282" s="15"/>
      <c r="AC282" s="15"/>
      <c r="AD282" s="15"/>
      <c r="AE282" s="15">
        <v>3667</v>
      </c>
      <c r="AF282" s="15"/>
      <c r="AG282" s="29"/>
      <c r="AH282" s="1" t="s">
        <v>129</v>
      </c>
      <c r="AJ282" s="7" t="s">
        <v>1050</v>
      </c>
      <c r="AL282" s="1" t="s">
        <v>67</v>
      </c>
      <c r="AM282" s="15" t="s">
        <v>545</v>
      </c>
      <c r="AN282" t="b">
        <f t="shared" si="2"/>
        <v>1</v>
      </c>
    </row>
    <row r="283" spans="1:40" ht="26.25">
      <c r="A283" s="1">
        <v>117</v>
      </c>
      <c r="B283" s="1" t="s">
        <v>111</v>
      </c>
      <c r="C283" s="2">
        <v>25.963000000000001</v>
      </c>
      <c r="D283" s="2">
        <v>25.963000000000001</v>
      </c>
      <c r="E283" s="8" t="s">
        <v>203</v>
      </c>
      <c r="F283" s="8" t="s">
        <v>203</v>
      </c>
      <c r="G283" s="1" t="s">
        <v>203</v>
      </c>
      <c r="H283" s="1"/>
      <c r="I283" s="1" t="s">
        <v>346</v>
      </c>
      <c r="J283" s="1">
        <v>21</v>
      </c>
      <c r="K283" s="1" t="str">
        <f>CONCATENATE(I283,J283)</f>
        <v>E21</v>
      </c>
      <c r="L283" s="1" t="s">
        <v>360</v>
      </c>
      <c r="M283" s="1">
        <v>261</v>
      </c>
      <c r="N283">
        <v>323</v>
      </c>
      <c r="O283" s="7" t="s">
        <v>369</v>
      </c>
      <c r="Q283" s="1" t="s">
        <v>111</v>
      </c>
      <c r="R283" s="15" t="s">
        <v>546</v>
      </c>
      <c r="T283" s="2">
        <v>25.963000000000001</v>
      </c>
      <c r="U283" s="2">
        <v>25.963000000000001</v>
      </c>
      <c r="V283" s="15" t="s">
        <v>881</v>
      </c>
      <c r="W283" s="18">
        <f>T283-U283</f>
        <v>0</v>
      </c>
      <c r="X283" s="30">
        <v>487.08</v>
      </c>
      <c r="Y283" s="30">
        <f>(X283-122)/3</f>
        <v>121.69333333333333</v>
      </c>
      <c r="Z283" s="1" t="s">
        <v>203</v>
      </c>
      <c r="AA283" s="15"/>
      <c r="AB283" s="15"/>
      <c r="AC283" s="15"/>
      <c r="AD283" s="15"/>
      <c r="AE283" s="15">
        <v>1770</v>
      </c>
      <c r="AF283" s="15"/>
      <c r="AG283" s="29"/>
      <c r="AH283" s="1" t="s">
        <v>129</v>
      </c>
      <c r="AJ283" s="7" t="s">
        <v>1050</v>
      </c>
      <c r="AL283" s="1" t="s">
        <v>111</v>
      </c>
      <c r="AM283" s="15" t="s">
        <v>546</v>
      </c>
      <c r="AN283" t="b">
        <f t="shared" si="2"/>
        <v>1</v>
      </c>
    </row>
    <row r="284" spans="1:40" ht="26.25">
      <c r="A284" s="1">
        <v>165</v>
      </c>
      <c r="B284" s="1" t="s">
        <v>154</v>
      </c>
      <c r="C284" s="2">
        <v>33.744</v>
      </c>
      <c r="D284" s="2">
        <v>26.103999999999999</v>
      </c>
      <c r="E284" s="8" t="s">
        <v>366</v>
      </c>
      <c r="F284" s="8" t="s">
        <v>203</v>
      </c>
      <c r="G284" s="1" t="s">
        <v>129</v>
      </c>
      <c r="H284" s="1"/>
      <c r="I284" s="1" t="s">
        <v>348</v>
      </c>
      <c r="J284" s="1">
        <v>21</v>
      </c>
      <c r="K284" s="1" t="str">
        <f>CONCATENATE(I284,J284)</f>
        <v>G21</v>
      </c>
      <c r="L284" s="1" t="s">
        <v>360</v>
      </c>
      <c r="M284" s="1">
        <v>263</v>
      </c>
      <c r="N284">
        <v>324</v>
      </c>
      <c r="O284" s="7" t="s">
        <v>369</v>
      </c>
      <c r="Q284" s="1" t="s">
        <v>154</v>
      </c>
      <c r="R284" s="15" t="s">
        <v>625</v>
      </c>
      <c r="T284" s="2">
        <v>33.744</v>
      </c>
      <c r="U284" s="2">
        <v>26.103999999999999</v>
      </c>
      <c r="V284" s="15" t="s">
        <v>960</v>
      </c>
      <c r="W284" s="18">
        <f>T284-U284</f>
        <v>7.6400000000000006</v>
      </c>
      <c r="X284" s="15"/>
      <c r="Y284" s="15"/>
      <c r="Z284" s="1" t="s">
        <v>129</v>
      </c>
      <c r="AA284" s="15"/>
      <c r="AB284" s="15"/>
      <c r="AC284" s="15"/>
      <c r="AD284" s="15"/>
      <c r="AE284" s="15"/>
      <c r="AF284" s="15"/>
      <c r="AG284" s="29"/>
      <c r="AH284" s="1" t="s">
        <v>129</v>
      </c>
      <c r="AJ284" s="7" t="s">
        <v>1050</v>
      </c>
      <c r="AL284" s="1" t="s">
        <v>154</v>
      </c>
      <c r="AM284" s="15" t="s">
        <v>625</v>
      </c>
      <c r="AN284" t="b">
        <f t="shared" si="2"/>
        <v>1</v>
      </c>
    </row>
    <row r="285" spans="1:40" ht="26.25">
      <c r="A285" s="1">
        <v>213</v>
      </c>
      <c r="B285" s="1" t="s">
        <v>197</v>
      </c>
      <c r="C285" s="2">
        <v>22.827000000000002</v>
      </c>
      <c r="D285" s="2">
        <v>22.555</v>
      </c>
      <c r="E285" s="8" t="s">
        <v>203</v>
      </c>
      <c r="F285" s="8" t="s">
        <v>203</v>
      </c>
      <c r="G285" s="1" t="s">
        <v>203</v>
      </c>
      <c r="H285" s="1"/>
      <c r="I285" s="1" t="s">
        <v>350</v>
      </c>
      <c r="J285" s="1">
        <v>21</v>
      </c>
      <c r="K285" s="1" t="str">
        <f>CONCATENATE(I285,J285)</f>
        <v>I21</v>
      </c>
      <c r="L285" s="1" t="s">
        <v>361</v>
      </c>
      <c r="M285" s="1">
        <v>353</v>
      </c>
      <c r="N285">
        <v>325</v>
      </c>
      <c r="O285" s="7" t="s">
        <v>369</v>
      </c>
      <c r="Q285" s="1" t="s">
        <v>197</v>
      </c>
      <c r="R285" s="15" t="s">
        <v>547</v>
      </c>
      <c r="T285" s="2">
        <v>22.827000000000002</v>
      </c>
      <c r="U285" s="2">
        <v>22.555</v>
      </c>
      <c r="V285" s="15" t="s">
        <v>882</v>
      </c>
      <c r="W285" s="18">
        <f>T285-U285</f>
        <v>0.27200000000000202</v>
      </c>
      <c r="X285" s="30">
        <v>484.16</v>
      </c>
      <c r="Y285" s="30">
        <f>(X285-122)/3</f>
        <v>120.72000000000001</v>
      </c>
      <c r="Z285" s="1" t="s">
        <v>203</v>
      </c>
      <c r="AA285" s="15"/>
      <c r="AB285" s="15"/>
      <c r="AC285" s="15"/>
      <c r="AD285" s="15"/>
      <c r="AE285" s="15">
        <v>3608</v>
      </c>
      <c r="AF285" s="15"/>
      <c r="AG285" s="29"/>
      <c r="AH285" s="1" t="s">
        <v>129</v>
      </c>
      <c r="AJ285" s="7" t="s">
        <v>1050</v>
      </c>
      <c r="AL285" s="1" t="s">
        <v>197</v>
      </c>
      <c r="AM285" s="15" t="s">
        <v>547</v>
      </c>
      <c r="AN285" t="b">
        <f t="shared" si="2"/>
        <v>1</v>
      </c>
    </row>
    <row r="286" spans="1:40" ht="26.25">
      <c r="A286" s="1">
        <v>261</v>
      </c>
      <c r="B286" s="1" t="s">
        <v>238</v>
      </c>
      <c r="C286" s="2">
        <v>23.082000000000001</v>
      </c>
      <c r="D286" s="2">
        <v>23.053999999999998</v>
      </c>
      <c r="E286" s="8" t="s">
        <v>203</v>
      </c>
      <c r="F286" s="8" t="s">
        <v>203</v>
      </c>
      <c r="G286" s="1" t="s">
        <v>203</v>
      </c>
      <c r="H286" s="1"/>
      <c r="I286" s="1" t="s">
        <v>352</v>
      </c>
      <c r="J286" s="1">
        <v>21</v>
      </c>
      <c r="K286" s="1" t="str">
        <f>CONCATENATE(I286,J286)</f>
        <v>K21</v>
      </c>
      <c r="L286" s="1" t="s">
        <v>361</v>
      </c>
      <c r="M286" s="1">
        <v>355</v>
      </c>
      <c r="N286">
        <v>326</v>
      </c>
      <c r="O286" s="7" t="s">
        <v>369</v>
      </c>
      <c r="Q286" s="1" t="s">
        <v>238</v>
      </c>
      <c r="R286" s="15" t="s">
        <v>548</v>
      </c>
      <c r="T286" s="2">
        <v>23.082000000000001</v>
      </c>
      <c r="U286" s="2">
        <v>23.053999999999998</v>
      </c>
      <c r="V286" s="15" t="s">
        <v>883</v>
      </c>
      <c r="W286" s="18">
        <f>T286-U286</f>
        <v>2.8000000000002245E-2</v>
      </c>
      <c r="X286" s="30">
        <v>487</v>
      </c>
      <c r="Y286" s="30">
        <f>(X286-122)/3</f>
        <v>121.66666666666667</v>
      </c>
      <c r="Z286" s="1" t="s">
        <v>203</v>
      </c>
      <c r="AA286" s="15"/>
      <c r="AB286" s="15"/>
      <c r="AC286" s="15"/>
      <c r="AD286" s="15"/>
      <c r="AE286" s="15">
        <v>3105</v>
      </c>
      <c r="AF286" s="15"/>
      <c r="AG286" s="29"/>
      <c r="AH286" s="1" t="s">
        <v>129</v>
      </c>
      <c r="AJ286" s="7" t="s">
        <v>1050</v>
      </c>
      <c r="AL286" s="1" t="s">
        <v>238</v>
      </c>
      <c r="AM286" s="15" t="s">
        <v>548</v>
      </c>
      <c r="AN286" t="b">
        <f t="shared" si="2"/>
        <v>1</v>
      </c>
    </row>
    <row r="287" spans="1:40" ht="26.25">
      <c r="A287" s="1">
        <v>309</v>
      </c>
      <c r="B287" s="1" t="s">
        <v>277</v>
      </c>
      <c r="C287" s="2">
        <v>25.268000000000001</v>
      </c>
      <c r="D287" s="2">
        <v>25.355</v>
      </c>
      <c r="E287" s="8" t="s">
        <v>203</v>
      </c>
      <c r="F287" s="8" t="s">
        <v>203</v>
      </c>
      <c r="G287" s="1" t="s">
        <v>203</v>
      </c>
      <c r="H287" s="1"/>
      <c r="I287" s="1" t="s">
        <v>353</v>
      </c>
      <c r="J287" s="1">
        <v>21</v>
      </c>
      <c r="K287" s="1" t="str">
        <f>CONCATENATE(I287,J287)</f>
        <v>M21</v>
      </c>
      <c r="L287" s="1" t="s">
        <v>361</v>
      </c>
      <c r="M287" s="1">
        <v>357</v>
      </c>
      <c r="N287">
        <v>327</v>
      </c>
      <c r="O287" s="7" t="s">
        <v>369</v>
      </c>
      <c r="Q287" s="1" t="s">
        <v>277</v>
      </c>
      <c r="R287" s="15" t="s">
        <v>549</v>
      </c>
      <c r="T287" s="2">
        <v>25.268000000000001</v>
      </c>
      <c r="U287" s="2">
        <v>25.355</v>
      </c>
      <c r="V287" s="15" t="s">
        <v>884</v>
      </c>
      <c r="W287" s="18">
        <f>T287-U287</f>
        <v>-8.6999999999999744E-2</v>
      </c>
      <c r="X287" s="30">
        <v>486.97</v>
      </c>
      <c r="Y287" s="30">
        <f>(X287-122)/3</f>
        <v>121.65666666666668</v>
      </c>
      <c r="Z287" s="1" t="s">
        <v>203</v>
      </c>
      <c r="AA287" s="15"/>
      <c r="AB287" s="15"/>
      <c r="AC287" s="15"/>
      <c r="AD287" s="15"/>
      <c r="AE287" s="15">
        <v>1757</v>
      </c>
      <c r="AF287" s="15"/>
      <c r="AG287" s="29"/>
      <c r="AH287" s="1" t="s">
        <v>129</v>
      </c>
      <c r="AJ287" s="7" t="s">
        <v>1050</v>
      </c>
      <c r="AL287" s="1" t="s">
        <v>277</v>
      </c>
      <c r="AM287" s="15" t="s">
        <v>549</v>
      </c>
      <c r="AN287" t="b">
        <f t="shared" si="2"/>
        <v>1</v>
      </c>
    </row>
    <row r="288" spans="1:40" ht="26.25">
      <c r="A288" s="1">
        <v>357</v>
      </c>
      <c r="B288" s="1" t="s">
        <v>316</v>
      </c>
      <c r="C288" s="2" t="s">
        <v>129</v>
      </c>
      <c r="D288" s="2">
        <v>25.15</v>
      </c>
      <c r="E288" s="8" t="s">
        <v>129</v>
      </c>
      <c r="F288" s="8" t="s">
        <v>203</v>
      </c>
      <c r="G288" s="1" t="s">
        <v>129</v>
      </c>
      <c r="H288" s="1"/>
      <c r="I288" s="1" t="s">
        <v>354</v>
      </c>
      <c r="J288" s="1">
        <v>21</v>
      </c>
      <c r="K288" s="1" t="str">
        <f>CONCATENATE(I288,J288)</f>
        <v>O21</v>
      </c>
      <c r="L288" s="1" t="s">
        <v>361</v>
      </c>
      <c r="M288" s="1">
        <v>359</v>
      </c>
      <c r="N288">
        <v>328</v>
      </c>
      <c r="O288" s="7" t="s">
        <v>369</v>
      </c>
      <c r="Q288" s="1" t="s">
        <v>316</v>
      </c>
      <c r="R288" s="15" t="s">
        <v>680</v>
      </c>
      <c r="T288" s="2" t="s">
        <v>129</v>
      </c>
      <c r="U288" s="2">
        <v>25.15</v>
      </c>
      <c r="V288" s="15" t="s">
        <v>1015</v>
      </c>
      <c r="W288" s="18" t="e">
        <f>T288-U288</f>
        <v>#VALUE!</v>
      </c>
      <c r="X288" s="15"/>
      <c r="Y288" s="15"/>
      <c r="Z288" s="1" t="s">
        <v>129</v>
      </c>
      <c r="AA288" s="15"/>
      <c r="AB288" s="15"/>
      <c r="AC288" s="15"/>
      <c r="AD288" s="15"/>
      <c r="AE288" s="15"/>
      <c r="AF288" s="15"/>
      <c r="AG288" s="29"/>
      <c r="AH288" s="1" t="s">
        <v>86</v>
      </c>
      <c r="AJ288" s="7" t="s">
        <v>1050</v>
      </c>
      <c r="AL288" s="1" t="s">
        <v>316</v>
      </c>
      <c r="AM288" s="15" t="s">
        <v>680</v>
      </c>
      <c r="AN288" t="b">
        <f t="shared" si="2"/>
        <v>1</v>
      </c>
    </row>
    <row r="289" spans="1:40" ht="26.25">
      <c r="A289" s="1">
        <v>45</v>
      </c>
      <c r="B289" s="1" t="s">
        <v>45</v>
      </c>
      <c r="C289" s="2" t="s">
        <v>129</v>
      </c>
      <c r="D289" s="2">
        <v>25.335999999999999</v>
      </c>
      <c r="E289" s="8" t="s">
        <v>129</v>
      </c>
      <c r="F289" s="8" t="s">
        <v>203</v>
      </c>
      <c r="G289" s="1" t="s">
        <v>129</v>
      </c>
      <c r="H289" s="1"/>
      <c r="I289" s="1" t="s">
        <v>343</v>
      </c>
      <c r="J289" s="1">
        <v>21</v>
      </c>
      <c r="K289" s="1" t="str">
        <f>CONCATENATE(I289,J289)</f>
        <v>B21</v>
      </c>
      <c r="L289" s="1" t="s">
        <v>360</v>
      </c>
      <c r="M289" s="1">
        <v>258</v>
      </c>
      <c r="N289">
        <v>329</v>
      </c>
      <c r="O289" s="7" t="s">
        <v>369</v>
      </c>
      <c r="Q289" s="1" t="s">
        <v>45</v>
      </c>
      <c r="R289" s="15" t="s">
        <v>681</v>
      </c>
      <c r="T289" s="2" t="s">
        <v>129</v>
      </c>
      <c r="U289" s="2">
        <v>25.335999999999999</v>
      </c>
      <c r="V289" s="15" t="s">
        <v>1016</v>
      </c>
      <c r="W289" s="18" t="e">
        <f>T289-U289</f>
        <v>#VALUE!</v>
      </c>
      <c r="X289" s="15"/>
      <c r="Y289" s="15"/>
      <c r="Z289" s="1" t="s">
        <v>129</v>
      </c>
      <c r="AA289" s="15"/>
      <c r="AB289" s="15"/>
      <c r="AC289" s="15"/>
      <c r="AD289" s="15"/>
      <c r="AE289" s="15"/>
      <c r="AF289" s="15"/>
      <c r="AG289" s="29"/>
      <c r="AH289" s="1" t="s">
        <v>129</v>
      </c>
      <c r="AJ289" s="7" t="s">
        <v>1050</v>
      </c>
      <c r="AL289" s="1" t="s">
        <v>45</v>
      </c>
      <c r="AM289" s="15" t="s">
        <v>681</v>
      </c>
      <c r="AN289" t="b">
        <f t="shared" si="2"/>
        <v>1</v>
      </c>
    </row>
    <row r="290" spans="1:40" ht="26.25">
      <c r="A290" s="1">
        <v>93</v>
      </c>
      <c r="B290" s="1" t="s">
        <v>89</v>
      </c>
      <c r="C290" s="2" t="s">
        <v>129</v>
      </c>
      <c r="D290" s="2">
        <v>25.965</v>
      </c>
      <c r="E290" s="8" t="s">
        <v>129</v>
      </c>
      <c r="F290" s="8" t="s">
        <v>203</v>
      </c>
      <c r="G290" s="1" t="s">
        <v>129</v>
      </c>
      <c r="H290" s="1"/>
      <c r="I290" s="1" t="s">
        <v>345</v>
      </c>
      <c r="J290" s="1">
        <v>21</v>
      </c>
      <c r="K290" s="1" t="str">
        <f>CONCATENATE(I290,J290)</f>
        <v>D21</v>
      </c>
      <c r="L290" s="1" t="s">
        <v>360</v>
      </c>
      <c r="M290" s="1">
        <v>260</v>
      </c>
      <c r="N290">
        <v>330</v>
      </c>
      <c r="O290" s="7" t="s">
        <v>369</v>
      </c>
      <c r="Q290" s="1" t="s">
        <v>89</v>
      </c>
      <c r="R290" s="15" t="s">
        <v>682</v>
      </c>
      <c r="T290" s="2" t="s">
        <v>129</v>
      </c>
      <c r="U290" s="2">
        <v>25.965</v>
      </c>
      <c r="V290" s="15" t="s">
        <v>1017</v>
      </c>
      <c r="W290" s="18" t="e">
        <f>T290-U290</f>
        <v>#VALUE!</v>
      </c>
      <c r="X290" s="15"/>
      <c r="Y290" s="15"/>
      <c r="Z290" s="1" t="s">
        <v>129</v>
      </c>
      <c r="AA290" s="15"/>
      <c r="AB290" s="15"/>
      <c r="AC290" s="15"/>
      <c r="AD290" s="15"/>
      <c r="AE290" s="15"/>
      <c r="AF290" s="15"/>
      <c r="AG290" s="29"/>
      <c r="AH290" s="1" t="s">
        <v>129</v>
      </c>
      <c r="AJ290" s="7" t="s">
        <v>1050</v>
      </c>
      <c r="AL290" s="1" t="s">
        <v>89</v>
      </c>
      <c r="AM290" s="15" t="s">
        <v>682</v>
      </c>
      <c r="AN290" t="b">
        <f t="shared" si="2"/>
        <v>1</v>
      </c>
    </row>
    <row r="291" spans="1:40" ht="26.25">
      <c r="A291" s="1">
        <v>141</v>
      </c>
      <c r="B291" s="1" t="s">
        <v>132</v>
      </c>
      <c r="C291" s="2">
        <v>24.734999999999999</v>
      </c>
      <c r="D291" s="2">
        <v>24.396999999999998</v>
      </c>
      <c r="E291" s="8" t="s">
        <v>203</v>
      </c>
      <c r="F291" s="8" t="s">
        <v>203</v>
      </c>
      <c r="G291" s="1" t="s">
        <v>203</v>
      </c>
      <c r="H291" s="1"/>
      <c r="I291" s="1" t="s">
        <v>347</v>
      </c>
      <c r="J291" s="1">
        <v>21</v>
      </c>
      <c r="K291" s="1" t="str">
        <f>CONCATENATE(I291,J291)</f>
        <v>F21</v>
      </c>
      <c r="L291" s="1" t="s">
        <v>360</v>
      </c>
      <c r="M291" s="1">
        <v>262</v>
      </c>
      <c r="N291">
        <v>331</v>
      </c>
      <c r="O291" s="7" t="s">
        <v>369</v>
      </c>
      <c r="Q291" s="1" t="s">
        <v>132</v>
      </c>
      <c r="R291" s="15" t="s">
        <v>550</v>
      </c>
      <c r="T291" s="2">
        <v>24.734999999999999</v>
      </c>
      <c r="U291" s="2">
        <v>24.396999999999998</v>
      </c>
      <c r="V291" s="15" t="s">
        <v>885</v>
      </c>
      <c r="W291" s="18">
        <f>T291-U291</f>
        <v>0.33800000000000097</v>
      </c>
      <c r="X291" s="30">
        <v>487.09</v>
      </c>
      <c r="Y291" s="30">
        <f>(X291-122)/3</f>
        <v>121.69666666666666</v>
      </c>
      <c r="Z291" s="1" t="s">
        <v>203</v>
      </c>
      <c r="AA291" s="15"/>
      <c r="AB291" s="15"/>
      <c r="AC291" s="15"/>
      <c r="AD291" s="15"/>
      <c r="AE291" s="15">
        <v>2076</v>
      </c>
      <c r="AF291" s="15"/>
      <c r="AG291" s="29"/>
      <c r="AH291" s="1" t="s">
        <v>129</v>
      </c>
      <c r="AJ291" s="7" t="s">
        <v>1050</v>
      </c>
      <c r="AL291" s="1" t="s">
        <v>132</v>
      </c>
      <c r="AM291" s="15" t="s">
        <v>550</v>
      </c>
      <c r="AN291" t="b">
        <f t="shared" si="2"/>
        <v>1</v>
      </c>
    </row>
    <row r="292" spans="1:40" ht="26.25">
      <c r="A292" s="1">
        <v>189</v>
      </c>
      <c r="B292" s="1" t="s">
        <v>175</v>
      </c>
      <c r="C292" s="2">
        <v>34.01</v>
      </c>
      <c r="D292" s="2">
        <v>22.495000000000001</v>
      </c>
      <c r="E292" s="8" t="s">
        <v>366</v>
      </c>
      <c r="F292" s="8" t="s">
        <v>203</v>
      </c>
      <c r="G292" s="1" t="s">
        <v>129</v>
      </c>
      <c r="H292" s="1"/>
      <c r="I292" s="1" t="s">
        <v>349</v>
      </c>
      <c r="J292" s="1">
        <v>21</v>
      </c>
      <c r="K292" s="1" t="str">
        <f>CONCATENATE(I292,J292)</f>
        <v>H21</v>
      </c>
      <c r="L292" s="1" t="s">
        <v>360</v>
      </c>
      <c r="M292" s="1">
        <v>264</v>
      </c>
      <c r="N292">
        <v>332</v>
      </c>
      <c r="O292" s="7" t="s">
        <v>369</v>
      </c>
      <c r="Q292" s="1" t="s">
        <v>175</v>
      </c>
      <c r="R292" s="15" t="s">
        <v>626</v>
      </c>
      <c r="T292" s="2">
        <v>34.01</v>
      </c>
      <c r="U292" s="2">
        <v>22.495000000000001</v>
      </c>
      <c r="V292" s="15" t="s">
        <v>961</v>
      </c>
      <c r="W292" s="18">
        <f>T292-U292</f>
        <v>11.514999999999997</v>
      </c>
      <c r="X292" s="15"/>
      <c r="Y292" s="15"/>
      <c r="Z292" s="1" t="s">
        <v>129</v>
      </c>
      <c r="AA292" s="15"/>
      <c r="AB292" s="15"/>
      <c r="AC292" s="15"/>
      <c r="AD292" s="15"/>
      <c r="AE292" s="15"/>
      <c r="AF292" s="15"/>
      <c r="AG292" s="29"/>
      <c r="AH292" s="1" t="s">
        <v>129</v>
      </c>
      <c r="AJ292" s="7" t="s">
        <v>1050</v>
      </c>
      <c r="AL292" s="1" t="s">
        <v>175</v>
      </c>
      <c r="AM292" s="15" t="s">
        <v>626</v>
      </c>
      <c r="AN292" t="b">
        <f t="shared" si="2"/>
        <v>1</v>
      </c>
    </row>
    <row r="293" spans="1:40" ht="26.25">
      <c r="A293" s="1">
        <v>237</v>
      </c>
      <c r="B293" s="1" t="s">
        <v>216</v>
      </c>
      <c r="C293" s="2" t="s">
        <v>129</v>
      </c>
      <c r="D293" s="2">
        <v>26.318000000000001</v>
      </c>
      <c r="E293" s="8" t="s">
        <v>129</v>
      </c>
      <c r="F293" s="8" t="s">
        <v>203</v>
      </c>
      <c r="G293" s="1" t="s">
        <v>129</v>
      </c>
      <c r="H293" s="1"/>
      <c r="I293" s="1" t="s">
        <v>351</v>
      </c>
      <c r="J293" s="1">
        <v>21</v>
      </c>
      <c r="K293" s="1" t="str">
        <f>CONCATENATE(I293,J293)</f>
        <v>J21</v>
      </c>
      <c r="L293" s="1" t="s">
        <v>361</v>
      </c>
      <c r="M293" s="1">
        <v>354</v>
      </c>
      <c r="N293">
        <v>333</v>
      </c>
      <c r="O293" s="7" t="s">
        <v>369</v>
      </c>
      <c r="Q293" s="1" t="s">
        <v>216</v>
      </c>
      <c r="R293" s="15" t="s">
        <v>683</v>
      </c>
      <c r="T293" s="2" t="s">
        <v>129</v>
      </c>
      <c r="U293" s="2">
        <v>26.318000000000001</v>
      </c>
      <c r="V293" s="15" t="s">
        <v>1018</v>
      </c>
      <c r="W293" s="18" t="e">
        <f>T293-U293</f>
        <v>#VALUE!</v>
      </c>
      <c r="X293" s="15"/>
      <c r="Y293" s="15"/>
      <c r="Z293" s="1" t="s">
        <v>129</v>
      </c>
      <c r="AA293" s="15"/>
      <c r="AB293" s="15"/>
      <c r="AC293" s="15"/>
      <c r="AD293" s="15"/>
      <c r="AE293" s="15"/>
      <c r="AF293" s="15"/>
      <c r="AG293" s="29"/>
      <c r="AH293" s="1" t="s">
        <v>129</v>
      </c>
      <c r="AJ293" s="7" t="s">
        <v>1050</v>
      </c>
      <c r="AL293" s="1" t="s">
        <v>216</v>
      </c>
      <c r="AM293" s="15" t="s">
        <v>683</v>
      </c>
      <c r="AN293" t="b">
        <f t="shared" si="2"/>
        <v>1</v>
      </c>
    </row>
    <row r="294" spans="1:40" ht="26.25">
      <c r="A294" s="1">
        <v>285</v>
      </c>
      <c r="B294" s="1" t="s">
        <v>256</v>
      </c>
      <c r="C294" s="2">
        <v>23.954000000000001</v>
      </c>
      <c r="D294" s="2">
        <v>23.98</v>
      </c>
      <c r="E294" s="8" t="s">
        <v>203</v>
      </c>
      <c r="F294" s="8" t="s">
        <v>203</v>
      </c>
      <c r="G294" s="1" t="s">
        <v>203</v>
      </c>
      <c r="H294" s="1"/>
      <c r="I294" s="1" t="s">
        <v>357</v>
      </c>
      <c r="J294" s="1">
        <v>21</v>
      </c>
      <c r="K294" s="1" t="str">
        <f>CONCATENATE(I294,J294)</f>
        <v>L21</v>
      </c>
      <c r="L294" s="1" t="s">
        <v>361</v>
      </c>
      <c r="M294" s="1">
        <v>356</v>
      </c>
      <c r="N294">
        <v>334</v>
      </c>
      <c r="O294" s="7" t="s">
        <v>369</v>
      </c>
      <c r="Q294" s="1" t="s">
        <v>256</v>
      </c>
      <c r="R294" s="15" t="s">
        <v>551</v>
      </c>
      <c r="T294" s="2">
        <v>23.954000000000001</v>
      </c>
      <c r="U294" s="2">
        <v>23.98</v>
      </c>
      <c r="V294" s="15" t="s">
        <v>886</v>
      </c>
      <c r="W294" s="18">
        <f>T294-U294</f>
        <v>-2.5999999999999801E-2</v>
      </c>
      <c r="X294" s="30">
        <v>487.08</v>
      </c>
      <c r="Y294" s="30">
        <f>(X294-122)/3</f>
        <v>121.69333333333333</v>
      </c>
      <c r="Z294" s="1" t="s">
        <v>203</v>
      </c>
      <c r="AA294" s="15"/>
      <c r="AB294" s="15"/>
      <c r="AC294" s="15"/>
      <c r="AD294" s="15"/>
      <c r="AE294" s="15">
        <v>2479</v>
      </c>
      <c r="AF294" s="15"/>
      <c r="AG294" s="29"/>
      <c r="AH294" s="1" t="s">
        <v>86</v>
      </c>
      <c r="AJ294" s="7" t="s">
        <v>1050</v>
      </c>
      <c r="AL294" s="1" t="s">
        <v>256</v>
      </c>
      <c r="AM294" s="15" t="s">
        <v>551</v>
      </c>
      <c r="AN294" t="b">
        <f t="shared" si="2"/>
        <v>1</v>
      </c>
    </row>
    <row r="295" spans="1:40" ht="26.25">
      <c r="A295" s="1">
        <v>333</v>
      </c>
      <c r="B295" s="1" t="s">
        <v>295</v>
      </c>
      <c r="C295" s="2">
        <v>24.803000000000001</v>
      </c>
      <c r="D295" s="2">
        <v>24.93</v>
      </c>
      <c r="E295" s="8" t="s">
        <v>203</v>
      </c>
      <c r="F295" s="8" t="s">
        <v>203</v>
      </c>
      <c r="G295" s="1" t="s">
        <v>203</v>
      </c>
      <c r="H295" s="1"/>
      <c r="I295" s="1" t="s">
        <v>4</v>
      </c>
      <c r="J295" s="1">
        <v>21</v>
      </c>
      <c r="K295" s="1" t="str">
        <f>CONCATENATE(I295,J295)</f>
        <v>N21</v>
      </c>
      <c r="L295" s="1" t="s">
        <v>361</v>
      </c>
      <c r="M295" s="1">
        <v>358</v>
      </c>
      <c r="N295">
        <v>335</v>
      </c>
      <c r="O295" s="7" t="s">
        <v>369</v>
      </c>
      <c r="Q295" s="1" t="s">
        <v>295</v>
      </c>
      <c r="R295" s="15" t="s">
        <v>552</v>
      </c>
      <c r="T295" s="2">
        <v>24.803000000000001</v>
      </c>
      <c r="U295" s="2">
        <v>24.93</v>
      </c>
      <c r="V295" s="15" t="s">
        <v>887</v>
      </c>
      <c r="W295" s="18">
        <f>T295-U295</f>
        <v>-0.12699999999999889</v>
      </c>
      <c r="X295" s="30">
        <v>489.86</v>
      </c>
      <c r="Y295" s="30">
        <f>(X295-122)/3</f>
        <v>122.62</v>
      </c>
      <c r="Z295" s="1" t="s">
        <v>203</v>
      </c>
      <c r="AA295" s="15"/>
      <c r="AB295" s="15"/>
      <c r="AC295" s="15"/>
      <c r="AD295" s="15"/>
      <c r="AE295" s="15">
        <v>2032</v>
      </c>
      <c r="AF295" s="15"/>
      <c r="AG295" s="29"/>
      <c r="AH295" s="1" t="s">
        <v>86</v>
      </c>
      <c r="AJ295" s="7" t="s">
        <v>1050</v>
      </c>
      <c r="AL295" s="1" t="s">
        <v>295</v>
      </c>
      <c r="AM295" s="15" t="s">
        <v>552</v>
      </c>
      <c r="AN295" t="b">
        <f t="shared" si="2"/>
        <v>1</v>
      </c>
    </row>
    <row r="296" spans="1:40" ht="26.25">
      <c r="A296" s="1">
        <v>381</v>
      </c>
      <c r="B296" s="1" t="s">
        <v>334</v>
      </c>
      <c r="C296" s="2">
        <v>22.492000000000001</v>
      </c>
      <c r="D296" s="2">
        <v>22.283999999999999</v>
      </c>
      <c r="E296" s="8" t="s">
        <v>203</v>
      </c>
      <c r="F296" s="8" t="s">
        <v>203</v>
      </c>
      <c r="G296" s="1" t="s">
        <v>203</v>
      </c>
      <c r="H296" s="1"/>
      <c r="I296" s="1" t="s">
        <v>355</v>
      </c>
      <c r="J296" s="1">
        <v>21</v>
      </c>
      <c r="K296" s="1" t="str">
        <f>CONCATENATE(I296,J296)</f>
        <v>P21</v>
      </c>
      <c r="L296" s="1" t="s">
        <v>361</v>
      </c>
      <c r="M296" s="1">
        <v>360</v>
      </c>
      <c r="N296">
        <v>336</v>
      </c>
      <c r="O296" s="7" t="s">
        <v>369</v>
      </c>
      <c r="Q296" s="1" t="s">
        <v>334</v>
      </c>
      <c r="R296" s="15" t="s">
        <v>553</v>
      </c>
      <c r="T296" s="2">
        <v>22.492000000000001</v>
      </c>
      <c r="U296" s="2">
        <v>22.283999999999999</v>
      </c>
      <c r="V296" s="15" t="s">
        <v>888</v>
      </c>
      <c r="W296" s="18">
        <f>T296-U296</f>
        <v>0.20800000000000196</v>
      </c>
      <c r="X296" s="30">
        <v>481.06</v>
      </c>
      <c r="Y296" s="30">
        <f>(X296-122)/3</f>
        <v>119.68666666666667</v>
      </c>
      <c r="Z296" s="1" t="s">
        <v>203</v>
      </c>
      <c r="AA296" s="15"/>
      <c r="AB296" s="15"/>
      <c r="AC296" s="15"/>
      <c r="AD296" s="15"/>
      <c r="AE296" s="15">
        <v>3930</v>
      </c>
      <c r="AF296" s="15"/>
      <c r="AG296" s="29"/>
      <c r="AH296" s="1" t="s">
        <v>129</v>
      </c>
      <c r="AJ296" s="7" t="s">
        <v>1050</v>
      </c>
      <c r="AL296" s="1" t="s">
        <v>334</v>
      </c>
      <c r="AM296" s="15" t="s">
        <v>553</v>
      </c>
      <c r="AN296" t="b">
        <f t="shared" si="2"/>
        <v>1</v>
      </c>
    </row>
    <row r="297" spans="1:40" ht="26.25">
      <c r="A297" s="1">
        <v>22</v>
      </c>
      <c r="B297" s="1" t="s">
        <v>24</v>
      </c>
      <c r="C297" s="2">
        <v>22.259</v>
      </c>
      <c r="D297" s="2">
        <v>21.937999999999999</v>
      </c>
      <c r="E297" s="8" t="s">
        <v>203</v>
      </c>
      <c r="F297" s="8" t="s">
        <v>203</v>
      </c>
      <c r="G297" s="1" t="s">
        <v>203</v>
      </c>
      <c r="H297" s="1"/>
      <c r="I297" s="1" t="s">
        <v>342</v>
      </c>
      <c r="J297" s="1">
        <v>22</v>
      </c>
      <c r="K297" s="1" t="str">
        <f>CONCATENATE(I297,J297)</f>
        <v>A22</v>
      </c>
      <c r="L297" s="1" t="s">
        <v>360</v>
      </c>
      <c r="M297" s="1">
        <v>265</v>
      </c>
      <c r="N297">
        <v>337</v>
      </c>
      <c r="O297" s="7" t="s">
        <v>369</v>
      </c>
      <c r="Q297" s="1" t="s">
        <v>24</v>
      </c>
      <c r="R297" s="15" t="s">
        <v>554</v>
      </c>
      <c r="T297" s="2">
        <v>22.259</v>
      </c>
      <c r="U297" s="2">
        <v>21.937999999999999</v>
      </c>
      <c r="V297" s="15" t="s">
        <v>889</v>
      </c>
      <c r="W297" s="18">
        <f>T297-U297</f>
        <v>0.32100000000000151</v>
      </c>
      <c r="X297" s="30">
        <v>481.15</v>
      </c>
      <c r="Y297" s="30">
        <f>(X297-122)/3</f>
        <v>119.71666666666665</v>
      </c>
      <c r="Z297" s="1" t="s">
        <v>203</v>
      </c>
      <c r="AA297" s="15"/>
      <c r="AB297" s="15"/>
      <c r="AC297" s="15"/>
      <c r="AD297" s="15"/>
      <c r="AE297" s="15">
        <v>3978</v>
      </c>
      <c r="AF297" s="15"/>
      <c r="AG297" s="29"/>
      <c r="AH297" s="36" t="s">
        <v>129</v>
      </c>
      <c r="AJ297" s="7" t="s">
        <v>1050</v>
      </c>
      <c r="AL297" s="1" t="s">
        <v>24</v>
      </c>
      <c r="AM297" s="15" t="s">
        <v>554</v>
      </c>
      <c r="AN297" t="b">
        <f t="shared" si="2"/>
        <v>1</v>
      </c>
    </row>
    <row r="298" spans="1:40" ht="26.25">
      <c r="A298" s="1">
        <v>70</v>
      </c>
      <c r="B298" s="1" t="s">
        <v>68</v>
      </c>
      <c r="C298" s="2">
        <v>21.963999999999999</v>
      </c>
      <c r="D298" s="2">
        <v>21.599</v>
      </c>
      <c r="E298" s="8" t="s">
        <v>203</v>
      </c>
      <c r="F298" s="8" t="s">
        <v>203</v>
      </c>
      <c r="G298" s="1" t="s">
        <v>203</v>
      </c>
      <c r="H298" s="1"/>
      <c r="I298" s="1" t="s">
        <v>344</v>
      </c>
      <c r="J298" s="1">
        <v>22</v>
      </c>
      <c r="K298" s="1" t="str">
        <f>CONCATENATE(I298,J298)</f>
        <v>C22</v>
      </c>
      <c r="L298" s="1" t="s">
        <v>360</v>
      </c>
      <c r="M298" s="1">
        <v>267</v>
      </c>
      <c r="N298">
        <v>338</v>
      </c>
      <c r="O298" s="7" t="s">
        <v>369</v>
      </c>
      <c r="Q298" s="1" t="s">
        <v>68</v>
      </c>
      <c r="R298" s="15" t="s">
        <v>555</v>
      </c>
      <c r="T298" s="2">
        <v>21.963999999999999</v>
      </c>
      <c r="U298" s="2">
        <v>21.599</v>
      </c>
      <c r="V298" s="15" t="s">
        <v>890</v>
      </c>
      <c r="W298" s="18">
        <f>T298-U298</f>
        <v>0.36499999999999844</v>
      </c>
      <c r="X298" s="30">
        <v>489.8</v>
      </c>
      <c r="Y298" s="30">
        <f>(X298-122)/3</f>
        <v>122.60000000000001</v>
      </c>
      <c r="Z298" s="1" t="s">
        <v>203</v>
      </c>
      <c r="AA298" s="15"/>
      <c r="AB298" s="15"/>
      <c r="AC298" s="15"/>
      <c r="AD298" s="15"/>
      <c r="AE298" s="15">
        <v>4433</v>
      </c>
      <c r="AF298" s="15"/>
      <c r="AG298" s="29"/>
      <c r="AH298" s="1" t="s">
        <v>129</v>
      </c>
      <c r="AJ298" s="7" t="s">
        <v>1050</v>
      </c>
      <c r="AL298" s="1" t="s">
        <v>68</v>
      </c>
      <c r="AM298" s="15" t="s">
        <v>555</v>
      </c>
      <c r="AN298" t="b">
        <f t="shared" si="2"/>
        <v>1</v>
      </c>
    </row>
    <row r="299" spans="1:40" ht="26.25">
      <c r="A299" s="1">
        <v>46</v>
      </c>
      <c r="B299" s="1" t="s">
        <v>46</v>
      </c>
      <c r="C299" s="2">
        <v>21.829000000000001</v>
      </c>
      <c r="D299" s="2">
        <v>21.841999999999999</v>
      </c>
      <c r="E299" s="8" t="s">
        <v>203</v>
      </c>
      <c r="F299" s="8" t="s">
        <v>203</v>
      </c>
      <c r="G299" s="1" t="s">
        <v>203</v>
      </c>
      <c r="H299" s="1"/>
      <c r="I299" s="1" t="s">
        <v>343</v>
      </c>
      <c r="J299" s="1">
        <v>22</v>
      </c>
      <c r="K299" s="1" t="str">
        <f>CONCATENATE(I299,J299)</f>
        <v>B22</v>
      </c>
      <c r="L299" s="1" t="s">
        <v>360</v>
      </c>
      <c r="M299" s="1">
        <v>266</v>
      </c>
      <c r="N299">
        <v>345</v>
      </c>
      <c r="O299" s="7" t="s">
        <v>369</v>
      </c>
      <c r="Q299" s="1" t="s">
        <v>46</v>
      </c>
      <c r="R299" s="15" t="s">
        <v>556</v>
      </c>
      <c r="T299" s="2">
        <v>21.829000000000001</v>
      </c>
      <c r="U299" s="2">
        <v>21.841999999999999</v>
      </c>
      <c r="V299" s="15" t="s">
        <v>891</v>
      </c>
      <c r="W299" s="18">
        <f>T299-U299</f>
        <v>-1.2999999999998124E-2</v>
      </c>
      <c r="X299" s="30">
        <v>591.54999999999995</v>
      </c>
      <c r="Y299" s="30">
        <f>(X299-122)/3</f>
        <v>156.51666666666665</v>
      </c>
      <c r="Z299" s="1" t="s">
        <v>203</v>
      </c>
      <c r="AA299" s="15"/>
      <c r="AB299" s="15"/>
      <c r="AC299" s="15"/>
      <c r="AD299" s="15"/>
      <c r="AE299" s="15">
        <v>1285</v>
      </c>
      <c r="AF299" s="15"/>
      <c r="AG299" s="29"/>
      <c r="AH299" s="1" t="s">
        <v>86</v>
      </c>
      <c r="AJ299" s="7" t="s">
        <v>1050</v>
      </c>
      <c r="AL299" s="1" t="s">
        <v>86</v>
      </c>
      <c r="AM299" s="15"/>
      <c r="AN299" t="b">
        <f t="shared" si="2"/>
        <v>0</v>
      </c>
    </row>
    <row r="300" spans="1:40" ht="26.25">
      <c r="A300" s="1">
        <v>94</v>
      </c>
      <c r="B300" s="1" t="s">
        <v>90</v>
      </c>
      <c r="C300" s="2">
        <v>22.948</v>
      </c>
      <c r="D300" s="2">
        <v>22.704999999999998</v>
      </c>
      <c r="E300" s="8" t="s">
        <v>203</v>
      </c>
      <c r="F300" s="8" t="s">
        <v>203</v>
      </c>
      <c r="G300" s="1" t="s">
        <v>203</v>
      </c>
      <c r="H300" s="1"/>
      <c r="I300" s="1" t="s">
        <v>345</v>
      </c>
      <c r="J300" s="1">
        <v>22</v>
      </c>
      <c r="K300" s="1" t="str">
        <f>CONCATENATE(I300,J300)</f>
        <v>D22</v>
      </c>
      <c r="L300" s="1" t="s">
        <v>360</v>
      </c>
      <c r="M300" s="1">
        <v>268</v>
      </c>
      <c r="N300">
        <v>346</v>
      </c>
      <c r="O300" s="7" t="s">
        <v>369</v>
      </c>
      <c r="Q300" s="1" t="s">
        <v>90</v>
      </c>
      <c r="R300" s="15" t="s">
        <v>557</v>
      </c>
      <c r="T300" s="2">
        <v>22.948</v>
      </c>
      <c r="U300" s="2">
        <v>22.704999999999998</v>
      </c>
      <c r="V300" s="15" t="s">
        <v>892</v>
      </c>
      <c r="W300" s="18">
        <f>T300-U300</f>
        <v>0.2430000000000021</v>
      </c>
      <c r="X300" s="30">
        <v>469.29</v>
      </c>
      <c r="Y300" s="30">
        <f>(X300-122)/3</f>
        <v>115.76333333333334</v>
      </c>
      <c r="Z300" s="1" t="s">
        <v>203</v>
      </c>
      <c r="AA300" s="15"/>
      <c r="AB300" s="15"/>
      <c r="AC300" s="15"/>
      <c r="AD300" s="15"/>
      <c r="AE300" s="15">
        <v>4489</v>
      </c>
      <c r="AF300" s="15"/>
      <c r="AG300" s="29"/>
      <c r="AH300" s="1" t="s">
        <v>129</v>
      </c>
      <c r="AJ300" s="7" t="s">
        <v>1050</v>
      </c>
      <c r="AL300" s="1" t="s">
        <v>129</v>
      </c>
      <c r="AM300" s="15"/>
      <c r="AN300" t="b">
        <f t="shared" si="2"/>
        <v>0</v>
      </c>
    </row>
    <row r="301" spans="1:40">
      <c r="A301" s="1">
        <v>142</v>
      </c>
      <c r="B301" s="1" t="s">
        <v>133</v>
      </c>
      <c r="C301" s="2">
        <v>22.13</v>
      </c>
      <c r="D301" s="2">
        <v>21.774999999999999</v>
      </c>
      <c r="E301" s="8" t="s">
        <v>203</v>
      </c>
      <c r="F301" s="8" t="s">
        <v>203</v>
      </c>
      <c r="G301" s="1" t="s">
        <v>203</v>
      </c>
      <c r="H301" s="1"/>
      <c r="I301" s="1" t="s">
        <v>347</v>
      </c>
      <c r="J301" s="1">
        <v>22</v>
      </c>
      <c r="K301" s="1" t="str">
        <f>CONCATENATE(I301,J301)</f>
        <v>F22</v>
      </c>
      <c r="L301" s="1" t="s">
        <v>360</v>
      </c>
      <c r="M301" s="1">
        <v>270</v>
      </c>
      <c r="N301">
        <v>347</v>
      </c>
      <c r="O301" s="7" t="s">
        <v>369</v>
      </c>
      <c r="Q301" s="1" t="s">
        <v>133</v>
      </c>
      <c r="R301" s="15" t="s">
        <v>558</v>
      </c>
      <c r="T301" s="2">
        <v>22.13</v>
      </c>
      <c r="U301" s="2">
        <v>21.774999999999999</v>
      </c>
      <c r="V301" s="15" t="s">
        <v>893</v>
      </c>
      <c r="W301" s="18">
        <f>T301-U301</f>
        <v>0.35500000000000043</v>
      </c>
      <c r="X301" s="30">
        <v>451.33</v>
      </c>
      <c r="Y301" s="30">
        <f>(X301-122)/3</f>
        <v>109.77666666666666</v>
      </c>
      <c r="Z301" s="1" t="s">
        <v>203</v>
      </c>
      <c r="AA301" s="15"/>
      <c r="AB301" s="15"/>
      <c r="AC301" s="15"/>
      <c r="AD301" s="15"/>
      <c r="AE301" s="15">
        <v>5460</v>
      </c>
      <c r="AF301" s="15"/>
      <c r="AG301" s="29"/>
      <c r="AH301" s="29"/>
      <c r="AI301" s="29"/>
      <c r="AJ301" s="29"/>
      <c r="AK301" s="29"/>
      <c r="AL301" s="29"/>
      <c r="AN301" t="b">
        <f t="shared" si="2"/>
        <v>0</v>
      </c>
    </row>
    <row r="302" spans="1:40">
      <c r="A302" s="1">
        <v>190</v>
      </c>
      <c r="B302" s="1" t="s">
        <v>176</v>
      </c>
      <c r="C302" s="2">
        <v>22.195</v>
      </c>
      <c r="D302" s="2">
        <v>21.896999999999998</v>
      </c>
      <c r="E302" s="8" t="s">
        <v>203</v>
      </c>
      <c r="F302" s="8" t="s">
        <v>203</v>
      </c>
      <c r="G302" s="1" t="s">
        <v>203</v>
      </c>
      <c r="H302" s="1"/>
      <c r="I302" s="1" t="s">
        <v>349</v>
      </c>
      <c r="J302" s="1">
        <v>22</v>
      </c>
      <c r="K302" s="1" t="str">
        <f>CONCATENATE(I302,J302)</f>
        <v>H22</v>
      </c>
      <c r="L302" s="1" t="s">
        <v>360</v>
      </c>
      <c r="M302" s="1">
        <v>272</v>
      </c>
      <c r="N302">
        <v>348</v>
      </c>
      <c r="O302" s="7" t="s">
        <v>369</v>
      </c>
      <c r="Q302" s="1" t="s">
        <v>176</v>
      </c>
      <c r="R302" s="15" t="s">
        <v>559</v>
      </c>
      <c r="T302" s="2">
        <v>22.195</v>
      </c>
      <c r="U302" s="2">
        <v>21.896999999999998</v>
      </c>
      <c r="V302" s="15" t="s">
        <v>894</v>
      </c>
      <c r="W302" s="18">
        <f>T302-U302</f>
        <v>0.29800000000000182</v>
      </c>
      <c r="X302" s="30">
        <v>475.49</v>
      </c>
      <c r="Y302" s="30">
        <f>(X302-122)/3</f>
        <v>117.83</v>
      </c>
      <c r="Z302" s="1" t="s">
        <v>203</v>
      </c>
      <c r="AA302" s="15"/>
      <c r="AB302" s="15"/>
      <c r="AC302" s="15"/>
      <c r="AD302" s="15"/>
      <c r="AE302" s="15">
        <v>5618</v>
      </c>
      <c r="AF302" s="15"/>
      <c r="AG302" s="29"/>
      <c r="AH302" s="34"/>
      <c r="AI302" s="34"/>
      <c r="AJ302" s="34"/>
      <c r="AK302" s="34"/>
      <c r="AL302" s="34"/>
      <c r="AN302" t="b">
        <f t="shared" si="2"/>
        <v>0</v>
      </c>
    </row>
    <row r="303" spans="1:40">
      <c r="A303" s="1">
        <v>238</v>
      </c>
      <c r="B303" s="1" t="s">
        <v>217</v>
      </c>
      <c r="C303" s="2">
        <v>35.155000000000001</v>
      </c>
      <c r="D303" s="2">
        <v>21.861999999999998</v>
      </c>
      <c r="E303" s="8" t="s">
        <v>366</v>
      </c>
      <c r="F303" s="8" t="s">
        <v>203</v>
      </c>
      <c r="G303" s="1" t="s">
        <v>129</v>
      </c>
      <c r="H303" s="1"/>
      <c r="I303" s="1" t="s">
        <v>351</v>
      </c>
      <c r="J303" s="1">
        <v>22</v>
      </c>
      <c r="K303" s="1" t="str">
        <f>CONCATENATE(I303,J303)</f>
        <v>J22</v>
      </c>
      <c r="L303" s="1" t="s">
        <v>361</v>
      </c>
      <c r="M303" s="1">
        <v>362</v>
      </c>
      <c r="N303">
        <v>349</v>
      </c>
      <c r="O303" s="7" t="s">
        <v>369</v>
      </c>
      <c r="Q303" s="1" t="s">
        <v>217</v>
      </c>
      <c r="R303" s="15" t="s">
        <v>627</v>
      </c>
      <c r="T303" s="2">
        <v>35.155000000000001</v>
      </c>
      <c r="U303" s="2">
        <v>21.861999999999998</v>
      </c>
      <c r="V303" s="15" t="s">
        <v>962</v>
      </c>
      <c r="W303" s="18">
        <f>T303-U303</f>
        <v>13.293000000000003</v>
      </c>
      <c r="X303" s="16"/>
      <c r="Y303" s="16"/>
      <c r="Z303" s="1" t="s">
        <v>129</v>
      </c>
      <c r="AA303" s="16"/>
      <c r="AB303" s="15"/>
      <c r="AC303" s="15"/>
      <c r="AD303" s="15"/>
      <c r="AE303" s="15">
        <v>463</v>
      </c>
      <c r="AF303" s="19">
        <v>2</v>
      </c>
      <c r="AG303" s="34"/>
      <c r="AH303" s="34"/>
      <c r="AI303" s="34"/>
      <c r="AJ303" s="34"/>
      <c r="AK303" s="34"/>
      <c r="AL303" s="34"/>
      <c r="AN303" t="b">
        <f t="shared" si="2"/>
        <v>0</v>
      </c>
    </row>
    <row r="304" spans="1:40">
      <c r="A304" s="1">
        <v>286</v>
      </c>
      <c r="B304" s="1" t="s">
        <v>257</v>
      </c>
      <c r="C304" s="2">
        <v>32.173999999999999</v>
      </c>
      <c r="D304" s="2">
        <v>23.542000000000002</v>
      </c>
      <c r="E304" s="8" t="s">
        <v>366</v>
      </c>
      <c r="F304" s="8" t="s">
        <v>203</v>
      </c>
      <c r="G304" s="1" t="s">
        <v>129</v>
      </c>
      <c r="H304" s="1"/>
      <c r="I304" s="1" t="s">
        <v>357</v>
      </c>
      <c r="J304" s="1">
        <v>22</v>
      </c>
      <c r="K304" s="1" t="str">
        <f>CONCATENATE(I304,J304)</f>
        <v>L22</v>
      </c>
      <c r="L304" s="1" t="s">
        <v>361</v>
      </c>
      <c r="M304" s="1">
        <v>364</v>
      </c>
      <c r="N304">
        <v>350</v>
      </c>
      <c r="O304" s="7" t="s">
        <v>369</v>
      </c>
      <c r="Q304" s="1" t="s">
        <v>257</v>
      </c>
      <c r="R304" s="15" t="s">
        <v>628</v>
      </c>
      <c r="T304" s="2">
        <v>32.173999999999999</v>
      </c>
      <c r="U304" s="2">
        <v>23.542000000000002</v>
      </c>
      <c r="V304" s="15" t="s">
        <v>963</v>
      </c>
      <c r="W304" s="18">
        <f>T304-U304</f>
        <v>8.6319999999999979</v>
      </c>
      <c r="X304" s="15"/>
      <c r="Y304" s="15"/>
      <c r="Z304" s="1" t="s">
        <v>129</v>
      </c>
      <c r="AA304" s="15"/>
      <c r="AB304" s="15"/>
      <c r="AC304" s="15"/>
      <c r="AD304" s="15"/>
      <c r="AE304" s="15"/>
      <c r="AF304" s="15"/>
      <c r="AG304" s="29"/>
      <c r="AH304" s="29"/>
      <c r="AI304" s="29"/>
      <c r="AJ304" s="29"/>
      <c r="AK304" s="29"/>
      <c r="AL304" s="29"/>
      <c r="AN304" t="b">
        <f t="shared" si="2"/>
        <v>0</v>
      </c>
    </row>
    <row r="305" spans="1:40">
      <c r="A305" s="1">
        <v>334</v>
      </c>
      <c r="B305" s="1" t="s">
        <v>296</v>
      </c>
      <c r="C305" s="2">
        <v>21.812000000000001</v>
      </c>
      <c r="D305" s="2">
        <v>21.591000000000001</v>
      </c>
      <c r="E305" s="8" t="s">
        <v>203</v>
      </c>
      <c r="F305" s="8" t="s">
        <v>203</v>
      </c>
      <c r="G305" s="1" t="s">
        <v>203</v>
      </c>
      <c r="H305" s="1"/>
      <c r="I305" s="1" t="s">
        <v>4</v>
      </c>
      <c r="J305" s="1">
        <v>22</v>
      </c>
      <c r="K305" s="1" t="str">
        <f>CONCATENATE(I305,J305)</f>
        <v>N22</v>
      </c>
      <c r="L305" s="1" t="s">
        <v>361</v>
      </c>
      <c r="M305" s="1">
        <v>366</v>
      </c>
      <c r="N305">
        <v>351</v>
      </c>
      <c r="O305" s="7" t="s">
        <v>369</v>
      </c>
      <c r="Q305" s="1" t="s">
        <v>296</v>
      </c>
      <c r="R305" s="15" t="s">
        <v>560</v>
      </c>
      <c r="T305" s="2">
        <v>21.812000000000001</v>
      </c>
      <c r="U305" s="2">
        <v>21.591000000000001</v>
      </c>
      <c r="V305" s="15" t="s">
        <v>895</v>
      </c>
      <c r="W305" s="18">
        <f>T305-U305</f>
        <v>0.22100000000000009</v>
      </c>
      <c r="X305" s="30">
        <v>472.28</v>
      </c>
      <c r="Y305" s="30">
        <f>(X305-122)/3</f>
        <v>116.75999999999999</v>
      </c>
      <c r="Z305" s="1" t="s">
        <v>203</v>
      </c>
      <c r="AA305" s="15"/>
      <c r="AB305" s="15"/>
      <c r="AC305" s="15"/>
      <c r="AD305" s="15"/>
      <c r="AE305" s="15">
        <v>7740</v>
      </c>
      <c r="AF305" s="15">
        <v>2</v>
      </c>
      <c r="AG305" s="29"/>
      <c r="AH305" s="29"/>
      <c r="AI305" s="29"/>
      <c r="AJ305" s="29"/>
      <c r="AK305" s="29"/>
      <c r="AL305" s="29"/>
      <c r="AN305" t="b">
        <f t="shared" si="2"/>
        <v>0</v>
      </c>
    </row>
    <row r="306" spans="1:40">
      <c r="A306" s="1">
        <v>382</v>
      </c>
      <c r="B306" s="1" t="s">
        <v>335</v>
      </c>
      <c r="C306" s="2">
        <v>21.728999999999999</v>
      </c>
      <c r="D306" s="2">
        <v>21.436</v>
      </c>
      <c r="E306" s="8" t="s">
        <v>203</v>
      </c>
      <c r="F306" s="8" t="s">
        <v>203</v>
      </c>
      <c r="G306" s="1" t="s">
        <v>203</v>
      </c>
      <c r="H306" s="1"/>
      <c r="I306" s="1" t="s">
        <v>355</v>
      </c>
      <c r="J306" s="1">
        <v>22</v>
      </c>
      <c r="K306" s="1" t="str">
        <f>CONCATENATE(I306,J306)</f>
        <v>P22</v>
      </c>
      <c r="L306" s="1" t="s">
        <v>361</v>
      </c>
      <c r="M306" s="1">
        <v>368</v>
      </c>
      <c r="N306">
        <v>352</v>
      </c>
      <c r="O306" s="7" t="s">
        <v>369</v>
      </c>
      <c r="Q306" s="1" t="s">
        <v>335</v>
      </c>
      <c r="R306" s="15" t="s">
        <v>561</v>
      </c>
      <c r="T306" s="2">
        <v>21.728999999999999</v>
      </c>
      <c r="U306" s="2">
        <v>21.436</v>
      </c>
      <c r="V306" s="15" t="s">
        <v>896</v>
      </c>
      <c r="W306" s="18">
        <f>T306-U306</f>
        <v>0.29299999999999926</v>
      </c>
      <c r="X306" s="30">
        <v>472.38</v>
      </c>
      <c r="Y306" s="30">
        <f>(X306-122)/3</f>
        <v>116.79333333333334</v>
      </c>
      <c r="Z306" s="1" t="s">
        <v>203</v>
      </c>
      <c r="AA306" s="15"/>
      <c r="AB306" s="15"/>
      <c r="AC306" s="15"/>
      <c r="AD306" s="15"/>
      <c r="AE306" s="15">
        <v>8497</v>
      </c>
      <c r="AF306" s="15">
        <v>2</v>
      </c>
      <c r="AG306" s="29"/>
      <c r="AH306" s="29"/>
      <c r="AI306" s="29"/>
      <c r="AJ306" s="29"/>
      <c r="AK306" s="29"/>
      <c r="AL306" s="29"/>
      <c r="AN306" t="b">
        <f t="shared" si="2"/>
        <v>0</v>
      </c>
    </row>
    <row r="307" spans="1:40">
      <c r="A307" s="1">
        <v>23</v>
      </c>
      <c r="B307" s="1" t="s">
        <v>25</v>
      </c>
      <c r="C307" s="2">
        <v>21.907</v>
      </c>
      <c r="D307" s="2">
        <v>21.855</v>
      </c>
      <c r="E307" s="8" t="s">
        <v>203</v>
      </c>
      <c r="F307" s="8" t="s">
        <v>203</v>
      </c>
      <c r="G307" s="1" t="s">
        <v>203</v>
      </c>
      <c r="H307" s="1"/>
      <c r="I307" s="1" t="s">
        <v>342</v>
      </c>
      <c r="J307" s="1">
        <v>23</v>
      </c>
      <c r="K307" s="1" t="str">
        <f>CONCATENATE(I307,J307)</f>
        <v>A23</v>
      </c>
      <c r="L307" s="1" t="s">
        <v>360</v>
      </c>
      <c r="M307" s="1">
        <v>273</v>
      </c>
      <c r="N307">
        <v>353</v>
      </c>
      <c r="O307" s="7" t="s">
        <v>369</v>
      </c>
      <c r="Q307" s="1" t="s">
        <v>25</v>
      </c>
      <c r="R307" s="15" t="s">
        <v>562</v>
      </c>
      <c r="T307" s="2">
        <v>21.907</v>
      </c>
      <c r="U307" s="2">
        <v>21.855</v>
      </c>
      <c r="V307" s="15" t="s">
        <v>897</v>
      </c>
      <c r="W307" s="18">
        <f>T307-U307</f>
        <v>5.1999999999999602E-2</v>
      </c>
      <c r="X307" s="30">
        <v>472.24</v>
      </c>
      <c r="Y307" s="30">
        <f>(X307-122)/3</f>
        <v>116.74666666666667</v>
      </c>
      <c r="Z307" s="1" t="s">
        <v>203</v>
      </c>
      <c r="AA307" s="15"/>
      <c r="AB307" s="15"/>
      <c r="AC307" s="15"/>
      <c r="AD307" s="15"/>
      <c r="AE307" s="15">
        <v>5115</v>
      </c>
      <c r="AF307" s="15"/>
      <c r="AG307" s="29"/>
      <c r="AH307" s="34"/>
      <c r="AI307" s="34"/>
      <c r="AJ307" s="34"/>
      <c r="AK307" s="34"/>
      <c r="AL307" s="34"/>
      <c r="AN307" t="b">
        <f t="shared" si="2"/>
        <v>0</v>
      </c>
    </row>
    <row r="308" spans="1:40">
      <c r="A308" s="1">
        <v>71</v>
      </c>
      <c r="B308" s="1" t="s">
        <v>69</v>
      </c>
      <c r="C308" s="2" t="s">
        <v>129</v>
      </c>
      <c r="D308" s="2">
        <v>21.916</v>
      </c>
      <c r="E308" s="8" t="s">
        <v>129</v>
      </c>
      <c r="F308" s="8" t="s">
        <v>203</v>
      </c>
      <c r="G308" s="1" t="s">
        <v>129</v>
      </c>
      <c r="H308" s="1"/>
      <c r="I308" s="1" t="s">
        <v>344</v>
      </c>
      <c r="J308" s="1">
        <v>23</v>
      </c>
      <c r="K308" s="1" t="str">
        <f>CONCATENATE(I308,J308)</f>
        <v>C23</v>
      </c>
      <c r="L308" s="1" t="s">
        <v>360</v>
      </c>
      <c r="M308" s="1">
        <v>275</v>
      </c>
      <c r="N308">
        <v>354</v>
      </c>
      <c r="O308" s="7" t="s">
        <v>369</v>
      </c>
      <c r="Q308" s="1" t="s">
        <v>69</v>
      </c>
      <c r="R308" s="15" t="s">
        <v>684</v>
      </c>
      <c r="T308" s="2" t="s">
        <v>129</v>
      </c>
      <c r="U308" s="2">
        <v>21.916</v>
      </c>
      <c r="V308" s="15" t="s">
        <v>1019</v>
      </c>
      <c r="W308" s="18" t="e">
        <f>T308-U308</f>
        <v>#VALUE!</v>
      </c>
      <c r="X308" s="15"/>
      <c r="Y308" s="15"/>
      <c r="Z308" s="1" t="s">
        <v>129</v>
      </c>
      <c r="AA308" s="15"/>
      <c r="AB308" s="15"/>
      <c r="AC308" s="15"/>
      <c r="AD308" s="15"/>
      <c r="AE308" s="15"/>
      <c r="AF308" s="19">
        <v>2</v>
      </c>
      <c r="AG308" s="34"/>
      <c r="AH308" s="29"/>
      <c r="AI308" s="29"/>
      <c r="AJ308" s="29"/>
      <c r="AK308" s="29"/>
      <c r="AL308" s="29"/>
      <c r="AN308" t="b">
        <f t="shared" si="2"/>
        <v>0</v>
      </c>
    </row>
    <row r="309" spans="1:40">
      <c r="A309" s="1">
        <v>119</v>
      </c>
      <c r="B309" s="1" t="s">
        <v>112</v>
      </c>
      <c r="C309" s="2">
        <v>22.033999999999999</v>
      </c>
      <c r="D309" s="2">
        <v>21.829000000000001</v>
      </c>
      <c r="E309" s="8" t="s">
        <v>203</v>
      </c>
      <c r="F309" s="8" t="s">
        <v>203</v>
      </c>
      <c r="G309" s="1" t="s">
        <v>203</v>
      </c>
      <c r="H309" s="1"/>
      <c r="I309" s="1" t="s">
        <v>346</v>
      </c>
      <c r="J309" s="1">
        <v>23</v>
      </c>
      <c r="K309" s="1" t="str">
        <f>CONCATENATE(I309,J309)</f>
        <v>E23</v>
      </c>
      <c r="L309" s="1" t="s">
        <v>360</v>
      </c>
      <c r="M309" s="1">
        <v>277</v>
      </c>
      <c r="N309">
        <v>355</v>
      </c>
      <c r="O309" s="7" t="s">
        <v>369</v>
      </c>
      <c r="Q309" s="1" t="s">
        <v>112</v>
      </c>
      <c r="R309" s="15" t="s">
        <v>563</v>
      </c>
      <c r="T309" s="2">
        <v>22.033999999999999</v>
      </c>
      <c r="U309" s="2">
        <v>21.829000000000001</v>
      </c>
      <c r="V309" s="15" t="s">
        <v>898</v>
      </c>
      <c r="W309" s="18">
        <f>T309-U309</f>
        <v>0.20499999999999829</v>
      </c>
      <c r="X309" s="30">
        <v>472.34</v>
      </c>
      <c r="Y309" s="30">
        <f>(X309-122)/3</f>
        <v>116.77999999999999</v>
      </c>
      <c r="Z309" s="1" t="s">
        <v>203</v>
      </c>
      <c r="AA309" s="15"/>
      <c r="AB309" s="15"/>
      <c r="AC309" s="15"/>
      <c r="AD309" s="15"/>
      <c r="AE309" s="15">
        <v>11064</v>
      </c>
      <c r="AF309" s="19">
        <v>2</v>
      </c>
      <c r="AG309" s="34"/>
      <c r="AH309" s="29"/>
      <c r="AI309" s="29"/>
      <c r="AJ309" s="29"/>
      <c r="AK309" s="29"/>
      <c r="AL309" s="29"/>
      <c r="AN309" t="b">
        <f t="shared" si="2"/>
        <v>0</v>
      </c>
    </row>
    <row r="310" spans="1:40">
      <c r="A310" s="1">
        <v>167</v>
      </c>
      <c r="B310" s="1" t="s">
        <v>155</v>
      </c>
      <c r="C310" s="2">
        <v>22.010999999999999</v>
      </c>
      <c r="D310" s="2">
        <v>21.646999999999998</v>
      </c>
      <c r="E310" s="8" t="s">
        <v>203</v>
      </c>
      <c r="F310" s="8" t="s">
        <v>203</v>
      </c>
      <c r="G310" s="1" t="s">
        <v>203</v>
      </c>
      <c r="H310" s="1"/>
      <c r="I310" s="1" t="s">
        <v>348</v>
      </c>
      <c r="J310" s="1">
        <v>23</v>
      </c>
      <c r="K310" s="1" t="str">
        <f>CONCATENATE(I310,J310)</f>
        <v>G23</v>
      </c>
      <c r="L310" s="1" t="s">
        <v>360</v>
      </c>
      <c r="M310" s="1">
        <v>279</v>
      </c>
      <c r="N310">
        <v>356</v>
      </c>
      <c r="O310" s="7" t="s">
        <v>369</v>
      </c>
      <c r="Q310" s="1" t="s">
        <v>155</v>
      </c>
      <c r="R310" s="15" t="s">
        <v>564</v>
      </c>
      <c r="T310" s="2">
        <v>22.010999999999999</v>
      </c>
      <c r="U310" s="2">
        <v>21.646999999999998</v>
      </c>
      <c r="V310" s="15" t="s">
        <v>899</v>
      </c>
      <c r="W310" s="18">
        <f>T310-U310</f>
        <v>0.36400000000000077</v>
      </c>
      <c r="X310" s="30">
        <v>472.45</v>
      </c>
      <c r="Y310" s="30">
        <f>(X310-122)/3</f>
        <v>116.81666666666666</v>
      </c>
      <c r="Z310" s="1" t="s">
        <v>203</v>
      </c>
      <c r="AA310" s="15"/>
      <c r="AB310" s="15"/>
      <c r="AC310" s="15"/>
      <c r="AD310" s="15"/>
      <c r="AE310" s="15">
        <v>6477</v>
      </c>
      <c r="AF310" s="15"/>
      <c r="AG310" s="29"/>
      <c r="AH310" s="29"/>
      <c r="AI310" s="29"/>
      <c r="AJ310" s="29"/>
      <c r="AK310" s="29"/>
      <c r="AL310" s="29"/>
      <c r="AN310" t="b">
        <f t="shared" si="2"/>
        <v>0</v>
      </c>
    </row>
    <row r="311" spans="1:40">
      <c r="A311" s="1">
        <v>215</v>
      </c>
      <c r="B311" s="1" t="s">
        <v>198</v>
      </c>
      <c r="C311" s="2">
        <v>24.998999999999999</v>
      </c>
      <c r="D311" s="2">
        <v>24.844999999999999</v>
      </c>
      <c r="E311" s="8" t="s">
        <v>203</v>
      </c>
      <c r="F311" s="8" t="s">
        <v>203</v>
      </c>
      <c r="G311" s="1" t="s">
        <v>203</v>
      </c>
      <c r="H311" s="1"/>
      <c r="I311" s="1" t="s">
        <v>350</v>
      </c>
      <c r="J311" s="1">
        <v>23</v>
      </c>
      <c r="K311" s="1" t="str">
        <f>CONCATENATE(I311,J311)</f>
        <v>I23</v>
      </c>
      <c r="L311" s="1" t="s">
        <v>361</v>
      </c>
      <c r="M311" s="1">
        <v>369</v>
      </c>
      <c r="N311">
        <v>357</v>
      </c>
      <c r="O311" s="7" t="s">
        <v>369</v>
      </c>
      <c r="Q311" s="1" t="s">
        <v>198</v>
      </c>
      <c r="R311" s="15" t="s">
        <v>565</v>
      </c>
      <c r="T311" s="2">
        <v>24.998999999999999</v>
      </c>
      <c r="U311" s="2">
        <v>24.844999999999999</v>
      </c>
      <c r="V311" s="15" t="s">
        <v>900</v>
      </c>
      <c r="W311" s="18">
        <f>T311-U311</f>
        <v>0.15399999999999991</v>
      </c>
      <c r="X311" s="30">
        <v>469.55</v>
      </c>
      <c r="Y311" s="30">
        <f>(X311-122)/3</f>
        <v>115.85000000000001</v>
      </c>
      <c r="Z311" s="1" t="s">
        <v>203</v>
      </c>
      <c r="AA311" s="15"/>
      <c r="AB311" s="15"/>
      <c r="AC311" s="15"/>
      <c r="AD311" s="15"/>
      <c r="AE311" s="15">
        <v>6617</v>
      </c>
      <c r="AF311" s="15"/>
      <c r="AG311" s="29"/>
      <c r="AH311" s="29"/>
      <c r="AI311" s="29"/>
      <c r="AJ311" s="29"/>
      <c r="AK311" s="29"/>
      <c r="AL311" s="29"/>
      <c r="AN311" t="b">
        <f t="shared" si="2"/>
        <v>0</v>
      </c>
    </row>
    <row r="312" spans="1:40">
      <c r="A312" s="1">
        <v>263</v>
      </c>
      <c r="B312" s="1" t="s">
        <v>239</v>
      </c>
      <c r="C312" s="2">
        <v>22.231000000000002</v>
      </c>
      <c r="D312" s="2">
        <v>22.079000000000001</v>
      </c>
      <c r="E312" s="8" t="s">
        <v>203</v>
      </c>
      <c r="F312" s="8" t="s">
        <v>203</v>
      </c>
      <c r="G312" s="1" t="s">
        <v>203</v>
      </c>
      <c r="H312" s="1"/>
      <c r="I312" s="1" t="s">
        <v>352</v>
      </c>
      <c r="J312" s="1">
        <v>23</v>
      </c>
      <c r="K312" s="1" t="str">
        <f>CONCATENATE(I312,J312)</f>
        <v>K23</v>
      </c>
      <c r="L312" s="1" t="s">
        <v>361</v>
      </c>
      <c r="M312" s="1">
        <v>371</v>
      </c>
      <c r="N312">
        <v>358</v>
      </c>
      <c r="O312" s="7" t="s">
        <v>369</v>
      </c>
      <c r="Q312" s="1" t="s">
        <v>239</v>
      </c>
      <c r="R312" s="15" t="s">
        <v>566</v>
      </c>
      <c r="T312" s="2">
        <v>22.231000000000002</v>
      </c>
      <c r="U312" s="2">
        <v>22.079000000000001</v>
      </c>
      <c r="V312" s="15" t="s">
        <v>901</v>
      </c>
      <c r="W312" s="18">
        <f>T312-U312</f>
        <v>0.15200000000000102</v>
      </c>
      <c r="X312" s="30">
        <v>475.54</v>
      </c>
      <c r="Y312" s="30">
        <f>(X312-122)/3</f>
        <v>117.84666666666668</v>
      </c>
      <c r="Z312" s="1" t="s">
        <v>203</v>
      </c>
      <c r="AA312" s="15"/>
      <c r="AB312" s="15"/>
      <c r="AC312" s="15"/>
      <c r="AD312" s="15"/>
      <c r="AE312" s="15">
        <v>3403</v>
      </c>
      <c r="AF312" s="15"/>
      <c r="AG312" s="29"/>
      <c r="AH312" s="29"/>
      <c r="AI312" s="29"/>
      <c r="AJ312" s="29"/>
      <c r="AK312" s="29"/>
      <c r="AL312" s="29"/>
      <c r="AN312" t="b">
        <f t="shared" si="2"/>
        <v>0</v>
      </c>
    </row>
    <row r="313" spans="1:40">
      <c r="A313" s="1">
        <v>311</v>
      </c>
      <c r="B313" s="1" t="s">
        <v>278</v>
      </c>
      <c r="C313" s="2" t="s">
        <v>129</v>
      </c>
      <c r="D313" s="2">
        <v>21.972999999999999</v>
      </c>
      <c r="E313" s="8" t="s">
        <v>129</v>
      </c>
      <c r="F313" s="8" t="s">
        <v>203</v>
      </c>
      <c r="G313" s="1" t="s">
        <v>129</v>
      </c>
      <c r="H313" s="1"/>
      <c r="I313" s="1" t="s">
        <v>353</v>
      </c>
      <c r="J313" s="1">
        <v>23</v>
      </c>
      <c r="K313" s="1" t="str">
        <f>CONCATENATE(I313,J313)</f>
        <v>M23</v>
      </c>
      <c r="L313" s="1" t="s">
        <v>361</v>
      </c>
      <c r="M313" s="1">
        <v>373</v>
      </c>
      <c r="N313">
        <v>359</v>
      </c>
      <c r="O313" s="7" t="s">
        <v>369</v>
      </c>
      <c r="Q313" s="1" t="s">
        <v>278</v>
      </c>
      <c r="R313" s="15" t="s">
        <v>685</v>
      </c>
      <c r="T313" s="2" t="s">
        <v>129</v>
      </c>
      <c r="U313" s="2">
        <v>21.972999999999999</v>
      </c>
      <c r="V313" s="15" t="s">
        <v>1020</v>
      </c>
      <c r="W313" s="18" t="e">
        <f>T313-U313</f>
        <v>#VALUE!</v>
      </c>
      <c r="X313" s="16"/>
      <c r="Y313" s="16"/>
      <c r="Z313" s="1" t="s">
        <v>129</v>
      </c>
      <c r="AA313" s="16"/>
      <c r="AB313" s="15"/>
      <c r="AC313" s="15"/>
      <c r="AD313" s="15"/>
      <c r="AE313" s="15"/>
      <c r="AF313" s="19">
        <v>2</v>
      </c>
      <c r="AG313" s="34"/>
      <c r="AH313" s="34"/>
      <c r="AI313" s="34"/>
      <c r="AJ313" s="34"/>
      <c r="AK313" s="34"/>
      <c r="AL313" s="34"/>
      <c r="AN313" t="b">
        <f t="shared" si="2"/>
        <v>0</v>
      </c>
    </row>
    <row r="314" spans="1:40">
      <c r="A314" s="1">
        <v>359</v>
      </c>
      <c r="B314" s="1" t="s">
        <v>317</v>
      </c>
      <c r="C314" s="2" t="s">
        <v>129</v>
      </c>
      <c r="D314" s="2">
        <v>21.852</v>
      </c>
      <c r="E314" s="8" t="s">
        <v>129</v>
      </c>
      <c r="F314" s="8" t="s">
        <v>203</v>
      </c>
      <c r="G314" s="1" t="s">
        <v>129</v>
      </c>
      <c r="H314" s="1"/>
      <c r="I314" s="1" t="s">
        <v>354</v>
      </c>
      <c r="J314" s="1">
        <v>23</v>
      </c>
      <c r="K314" s="1" t="str">
        <f>CONCATENATE(I314,J314)</f>
        <v>O23</v>
      </c>
      <c r="L314" s="1" t="s">
        <v>361</v>
      </c>
      <c r="M314" s="1">
        <v>375</v>
      </c>
      <c r="N314">
        <v>360</v>
      </c>
      <c r="O314" s="7" t="s">
        <v>369</v>
      </c>
      <c r="Q314" s="1" t="s">
        <v>317</v>
      </c>
      <c r="R314" s="15" t="s">
        <v>686</v>
      </c>
      <c r="T314" s="2" t="s">
        <v>129</v>
      </c>
      <c r="U314" s="2">
        <v>21.852</v>
      </c>
      <c r="V314" s="15" t="s">
        <v>1021</v>
      </c>
      <c r="W314" s="18" t="e">
        <f>T314-U314</f>
        <v>#VALUE!</v>
      </c>
      <c r="X314" s="15"/>
      <c r="Y314" s="15"/>
      <c r="Z314" s="1" t="s">
        <v>129</v>
      </c>
      <c r="AA314" s="15"/>
      <c r="AB314" s="15"/>
      <c r="AC314" s="15"/>
      <c r="AD314" s="15"/>
      <c r="AE314" s="15"/>
      <c r="AF314" s="15"/>
      <c r="AG314" s="29"/>
      <c r="AH314" s="34"/>
      <c r="AI314" s="34"/>
      <c r="AJ314" s="34"/>
      <c r="AK314" s="34"/>
      <c r="AL314" s="34"/>
      <c r="AN314" t="b">
        <f t="shared" ref="AN314:AN332" si="3">R314=AM314</f>
        <v>0</v>
      </c>
    </row>
    <row r="315" spans="1:40">
      <c r="A315" s="1">
        <v>47</v>
      </c>
      <c r="B315" s="1" t="s">
        <v>47</v>
      </c>
      <c r="C315" s="2" t="s">
        <v>129</v>
      </c>
      <c r="D315" s="2">
        <v>21.556000000000001</v>
      </c>
      <c r="E315" s="8" t="s">
        <v>129</v>
      </c>
      <c r="F315" s="8" t="s">
        <v>203</v>
      </c>
      <c r="G315" s="1" t="s">
        <v>129</v>
      </c>
      <c r="H315" s="1"/>
      <c r="I315" s="1" t="s">
        <v>343</v>
      </c>
      <c r="J315" s="1">
        <v>23</v>
      </c>
      <c r="K315" s="1" t="str">
        <f>CONCATENATE(I315,J315)</f>
        <v>B23</v>
      </c>
      <c r="L315" s="1" t="s">
        <v>360</v>
      </c>
      <c r="M315" s="1">
        <v>274</v>
      </c>
      <c r="N315">
        <v>361</v>
      </c>
      <c r="O315" s="7" t="s">
        <v>369</v>
      </c>
      <c r="Q315" s="1" t="s">
        <v>47</v>
      </c>
      <c r="R315" s="15" t="s">
        <v>687</v>
      </c>
      <c r="T315" s="2" t="s">
        <v>129</v>
      </c>
      <c r="U315" s="2">
        <v>21.556000000000001</v>
      </c>
      <c r="V315" s="15" t="s">
        <v>1022</v>
      </c>
      <c r="W315" s="18" t="e">
        <f>T315-U315</f>
        <v>#VALUE!</v>
      </c>
      <c r="X315" s="15"/>
      <c r="Y315" s="15"/>
      <c r="Z315" s="1" t="s">
        <v>129</v>
      </c>
      <c r="AA315" s="15"/>
      <c r="AB315" s="15"/>
      <c r="AC315" s="15"/>
      <c r="AD315" s="15"/>
      <c r="AE315" s="15"/>
      <c r="AF315" s="15"/>
      <c r="AG315" s="29"/>
      <c r="AH315" s="34"/>
      <c r="AI315" s="34"/>
      <c r="AJ315" s="34"/>
      <c r="AK315" s="34"/>
      <c r="AL315" s="34"/>
      <c r="AN315" t="b">
        <f t="shared" si="3"/>
        <v>0</v>
      </c>
    </row>
    <row r="316" spans="1:40">
      <c r="A316" s="1">
        <v>95</v>
      </c>
      <c r="B316" s="1" t="s">
        <v>91</v>
      </c>
      <c r="C316" s="2">
        <v>23.248000000000001</v>
      </c>
      <c r="D316" s="2">
        <v>23.216999999999999</v>
      </c>
      <c r="E316" s="8" t="s">
        <v>203</v>
      </c>
      <c r="F316" s="8" t="s">
        <v>203</v>
      </c>
      <c r="G316" s="1" t="s">
        <v>203</v>
      </c>
      <c r="H316" s="1"/>
      <c r="I316" s="1" t="s">
        <v>345</v>
      </c>
      <c r="J316" s="1">
        <v>23</v>
      </c>
      <c r="K316" s="1" t="str">
        <f>CONCATENATE(I316,J316)</f>
        <v>D23</v>
      </c>
      <c r="L316" s="1" t="s">
        <v>360</v>
      </c>
      <c r="M316" s="1">
        <v>276</v>
      </c>
      <c r="N316">
        <v>362</v>
      </c>
      <c r="O316" s="7" t="s">
        <v>369</v>
      </c>
      <c r="Q316" s="1" t="s">
        <v>91</v>
      </c>
      <c r="R316" s="15" t="s">
        <v>567</v>
      </c>
      <c r="T316" s="2">
        <v>23.248000000000001</v>
      </c>
      <c r="U316" s="2">
        <v>23.216999999999999</v>
      </c>
      <c r="V316" s="15" t="s">
        <v>902</v>
      </c>
      <c r="W316" s="18">
        <f>T316-U316</f>
        <v>3.1000000000002359E-2</v>
      </c>
      <c r="X316" s="30">
        <v>471.98</v>
      </c>
      <c r="Y316" s="30">
        <f>(X316-122)/3</f>
        <v>116.66000000000001</v>
      </c>
      <c r="Z316" s="1" t="s">
        <v>203</v>
      </c>
      <c r="AA316" s="15"/>
      <c r="AB316" s="15"/>
      <c r="AC316" s="15"/>
      <c r="AD316" s="15"/>
      <c r="AE316" s="15">
        <v>6734</v>
      </c>
      <c r="AF316" s="15">
        <v>2</v>
      </c>
      <c r="AG316" s="29"/>
      <c r="AH316" s="29"/>
      <c r="AI316" s="29"/>
      <c r="AJ316" s="29"/>
      <c r="AK316" s="29"/>
      <c r="AL316" s="29"/>
      <c r="AN316" t="b">
        <f t="shared" si="3"/>
        <v>0</v>
      </c>
    </row>
    <row r="317" spans="1:40">
      <c r="A317" s="1">
        <v>143</v>
      </c>
      <c r="B317" s="1" t="s">
        <v>134</v>
      </c>
      <c r="C317" s="2">
        <v>22.733000000000001</v>
      </c>
      <c r="D317" s="2">
        <v>22.719000000000001</v>
      </c>
      <c r="E317" s="8" t="s">
        <v>203</v>
      </c>
      <c r="F317" s="8" t="s">
        <v>203</v>
      </c>
      <c r="G317" s="1" t="s">
        <v>203</v>
      </c>
      <c r="H317" s="1"/>
      <c r="I317" s="1" t="s">
        <v>347</v>
      </c>
      <c r="J317" s="1">
        <v>23</v>
      </c>
      <c r="K317" s="1" t="str">
        <f>CONCATENATE(I317,J317)</f>
        <v>F23</v>
      </c>
      <c r="L317" s="1" t="s">
        <v>360</v>
      </c>
      <c r="M317" s="1">
        <v>278</v>
      </c>
      <c r="N317">
        <v>363</v>
      </c>
      <c r="O317" s="7" t="s">
        <v>369</v>
      </c>
      <c r="Q317" s="1" t="s">
        <v>134</v>
      </c>
      <c r="R317" s="15" t="s">
        <v>568</v>
      </c>
      <c r="T317" s="2">
        <v>22.733000000000001</v>
      </c>
      <c r="U317" s="2">
        <v>22.719000000000001</v>
      </c>
      <c r="V317" s="15" t="s">
        <v>903</v>
      </c>
      <c r="W317" s="18">
        <f>T317-U317</f>
        <v>1.3999999999999346E-2</v>
      </c>
      <c r="X317" s="30">
        <v>472.31</v>
      </c>
      <c r="Y317" s="30">
        <f>(X317-122)/3</f>
        <v>116.77</v>
      </c>
      <c r="Z317" s="1" t="s">
        <v>203</v>
      </c>
      <c r="AA317" s="15"/>
      <c r="AB317" s="15"/>
      <c r="AC317" s="15"/>
      <c r="AD317" s="15"/>
      <c r="AE317" s="15">
        <v>3735</v>
      </c>
      <c r="AF317" s="15"/>
      <c r="AG317" s="29"/>
      <c r="AH317" s="29"/>
      <c r="AI317" s="29"/>
      <c r="AJ317" s="29"/>
      <c r="AK317" s="29"/>
      <c r="AL317" s="29"/>
      <c r="AN317" t="b">
        <f t="shared" si="3"/>
        <v>0</v>
      </c>
    </row>
    <row r="318" spans="1:40">
      <c r="A318" s="1">
        <v>191</v>
      </c>
      <c r="B318" s="1" t="s">
        <v>177</v>
      </c>
      <c r="C318" s="2">
        <v>21.97</v>
      </c>
      <c r="D318" s="2">
        <v>21.821999999999999</v>
      </c>
      <c r="E318" s="8" t="s">
        <v>203</v>
      </c>
      <c r="F318" s="8" t="s">
        <v>203</v>
      </c>
      <c r="G318" s="1" t="s">
        <v>203</v>
      </c>
      <c r="H318" s="1"/>
      <c r="I318" s="1" t="s">
        <v>349</v>
      </c>
      <c r="J318" s="1">
        <v>23</v>
      </c>
      <c r="K318" s="1" t="str">
        <f>CONCATENATE(I318,J318)</f>
        <v>H23</v>
      </c>
      <c r="L318" s="1" t="s">
        <v>360</v>
      </c>
      <c r="M318" s="1">
        <v>280</v>
      </c>
      <c r="N318">
        <v>364</v>
      </c>
      <c r="O318" s="7" t="s">
        <v>369</v>
      </c>
      <c r="Q318" s="1" t="s">
        <v>177</v>
      </c>
      <c r="R318" s="15" t="s">
        <v>569</v>
      </c>
      <c r="T318" s="2">
        <v>21.97</v>
      </c>
      <c r="U318" s="2">
        <v>21.821999999999999</v>
      </c>
      <c r="V318" s="15" t="s">
        <v>904</v>
      </c>
      <c r="W318" s="18">
        <f>T318-U318</f>
        <v>0.14799999999999969</v>
      </c>
      <c r="X318" s="30">
        <v>469.38</v>
      </c>
      <c r="Y318" s="30">
        <f>(X318-122)/3</f>
        <v>115.79333333333334</v>
      </c>
      <c r="Z318" s="1" t="s">
        <v>203</v>
      </c>
      <c r="AA318" s="15"/>
      <c r="AB318" s="15"/>
      <c r="AC318" s="15"/>
      <c r="AD318" s="15"/>
      <c r="AE318" s="15">
        <v>4354</v>
      </c>
      <c r="AF318" s="15"/>
      <c r="AG318" s="29"/>
      <c r="AH318" s="34"/>
      <c r="AI318" s="34"/>
      <c r="AJ318" s="34"/>
      <c r="AK318" s="34"/>
      <c r="AL318" s="34"/>
      <c r="AN318" t="b">
        <f t="shared" si="3"/>
        <v>0</v>
      </c>
    </row>
    <row r="319" spans="1:40">
      <c r="A319" s="1">
        <v>239</v>
      </c>
      <c r="B319" s="1" t="s">
        <v>218</v>
      </c>
      <c r="C319" s="2">
        <v>34.578000000000003</v>
      </c>
      <c r="D319" s="2">
        <v>22.433</v>
      </c>
      <c r="E319" s="8" t="s">
        <v>366</v>
      </c>
      <c r="F319" s="8" t="s">
        <v>203</v>
      </c>
      <c r="G319" s="1" t="s">
        <v>129</v>
      </c>
      <c r="H319" s="1"/>
      <c r="I319" s="1" t="s">
        <v>351</v>
      </c>
      <c r="J319" s="1">
        <v>23</v>
      </c>
      <c r="K319" s="1" t="str">
        <f>CONCATENATE(I319,J319)</f>
        <v>J23</v>
      </c>
      <c r="L319" s="1" t="s">
        <v>361</v>
      </c>
      <c r="M319" s="1">
        <v>370</v>
      </c>
      <c r="N319">
        <v>365</v>
      </c>
      <c r="O319" s="7" t="s">
        <v>369</v>
      </c>
      <c r="Q319" s="1" t="s">
        <v>218</v>
      </c>
      <c r="R319" s="15" t="s">
        <v>629</v>
      </c>
      <c r="T319" s="2">
        <v>34.578000000000003</v>
      </c>
      <c r="U319" s="2">
        <v>22.433</v>
      </c>
      <c r="V319" s="15" t="s">
        <v>964</v>
      </c>
      <c r="W319" s="18">
        <f>T319-U319</f>
        <v>12.145000000000003</v>
      </c>
      <c r="X319" s="15"/>
      <c r="Y319" s="15"/>
      <c r="Z319" s="1" t="s">
        <v>129</v>
      </c>
      <c r="AA319" s="15"/>
      <c r="AB319" s="15"/>
      <c r="AC319" s="15"/>
      <c r="AD319" s="15"/>
      <c r="AE319" s="15"/>
      <c r="AF319" s="19">
        <v>2</v>
      </c>
      <c r="AG319" s="34"/>
      <c r="AH319" s="29"/>
      <c r="AI319" s="29"/>
      <c r="AJ319" s="29"/>
      <c r="AK319" s="29"/>
      <c r="AL319" s="29"/>
      <c r="AN319" t="b">
        <f t="shared" si="3"/>
        <v>0</v>
      </c>
    </row>
    <row r="320" spans="1:40">
      <c r="A320" s="1">
        <v>287</v>
      </c>
      <c r="B320" s="1" t="s">
        <v>258</v>
      </c>
      <c r="C320" s="2">
        <v>22.558</v>
      </c>
      <c r="D320" s="2">
        <v>22.507000000000001</v>
      </c>
      <c r="E320" s="8" t="s">
        <v>203</v>
      </c>
      <c r="F320" s="8" t="s">
        <v>203</v>
      </c>
      <c r="G320" s="1" t="s">
        <v>203</v>
      </c>
      <c r="H320" s="1"/>
      <c r="I320" s="1" t="s">
        <v>357</v>
      </c>
      <c r="J320" s="1">
        <v>23</v>
      </c>
      <c r="K320" s="1" t="str">
        <f>CONCATENATE(I320,J320)</f>
        <v>L23</v>
      </c>
      <c r="L320" s="1" t="s">
        <v>361</v>
      </c>
      <c r="M320" s="1">
        <v>372</v>
      </c>
      <c r="N320">
        <v>366</v>
      </c>
      <c r="O320" s="7" t="s">
        <v>369</v>
      </c>
      <c r="Q320" s="1" t="s">
        <v>258</v>
      </c>
      <c r="R320" s="15" t="s">
        <v>570</v>
      </c>
      <c r="T320" s="2">
        <v>22.558</v>
      </c>
      <c r="U320" s="2">
        <v>22.507000000000001</v>
      </c>
      <c r="V320" s="15" t="s">
        <v>905</v>
      </c>
      <c r="W320" s="18">
        <f>T320-U320</f>
        <v>5.099999999999838E-2</v>
      </c>
      <c r="X320" s="30">
        <v>477.88</v>
      </c>
      <c r="Y320" s="30">
        <f>(X320-122)/3</f>
        <v>118.62666666666667</v>
      </c>
      <c r="Z320" s="1" t="s">
        <v>203</v>
      </c>
      <c r="AA320" s="15"/>
      <c r="AB320" s="15"/>
      <c r="AC320" s="15"/>
      <c r="AD320" s="15"/>
      <c r="AE320" s="15">
        <v>7562</v>
      </c>
      <c r="AF320" s="19">
        <v>2</v>
      </c>
      <c r="AG320" s="34"/>
      <c r="AH320" s="29"/>
      <c r="AI320" s="29"/>
      <c r="AJ320" s="29"/>
      <c r="AK320" s="29"/>
      <c r="AL320" s="29"/>
      <c r="AN320" t="b">
        <f t="shared" si="3"/>
        <v>0</v>
      </c>
    </row>
    <row r="321" spans="1:40">
      <c r="A321" s="1">
        <v>335</v>
      </c>
      <c r="B321" s="1" t="s">
        <v>297</v>
      </c>
      <c r="C321" s="2" t="s">
        <v>129</v>
      </c>
      <c r="D321" s="2">
        <v>21.05</v>
      </c>
      <c r="E321" s="8" t="s">
        <v>129</v>
      </c>
      <c r="F321" s="8" t="s">
        <v>203</v>
      </c>
      <c r="G321" s="1" t="s">
        <v>129</v>
      </c>
      <c r="H321" s="1"/>
      <c r="I321" s="1" t="s">
        <v>4</v>
      </c>
      <c r="J321" s="1">
        <v>23</v>
      </c>
      <c r="K321" s="1" t="str">
        <f>CONCATENATE(I321,J321)</f>
        <v>N23</v>
      </c>
      <c r="L321" s="1" t="s">
        <v>361</v>
      </c>
      <c r="M321" s="1">
        <v>374</v>
      </c>
      <c r="N321">
        <v>367</v>
      </c>
      <c r="O321" s="7" t="s">
        <v>369</v>
      </c>
      <c r="Q321" s="1" t="s">
        <v>297</v>
      </c>
      <c r="R321" s="15" t="s">
        <v>688</v>
      </c>
      <c r="T321" s="2" t="s">
        <v>129</v>
      </c>
      <c r="U321" s="2">
        <v>21.05</v>
      </c>
      <c r="V321" s="15" t="s">
        <v>1023</v>
      </c>
      <c r="W321" s="18" t="e">
        <f>T321-U321</f>
        <v>#VALUE!</v>
      </c>
      <c r="X321" s="15"/>
      <c r="Y321" s="15"/>
      <c r="Z321" s="1" t="s">
        <v>129</v>
      </c>
      <c r="AA321" s="15"/>
      <c r="AB321" s="15"/>
      <c r="AC321" s="15"/>
      <c r="AD321" s="15"/>
      <c r="AE321" s="15"/>
      <c r="AF321" s="19">
        <v>2</v>
      </c>
      <c r="AG321" s="34"/>
      <c r="AH321" s="29"/>
      <c r="AI321" s="29"/>
      <c r="AJ321" s="29"/>
      <c r="AK321" s="29"/>
      <c r="AL321" s="29"/>
      <c r="AN321" t="b">
        <f t="shared" si="3"/>
        <v>0</v>
      </c>
    </row>
    <row r="322" spans="1:40">
      <c r="A322" s="1">
        <v>383</v>
      </c>
      <c r="B322" s="1" t="s">
        <v>336</v>
      </c>
      <c r="C322" s="2" t="s">
        <v>129</v>
      </c>
      <c r="D322" s="2">
        <v>20.74</v>
      </c>
      <c r="E322" s="8" t="s">
        <v>129</v>
      </c>
      <c r="F322" s="8" t="s">
        <v>203</v>
      </c>
      <c r="G322" s="1" t="s">
        <v>129</v>
      </c>
      <c r="H322" s="1"/>
      <c r="I322" s="1" t="s">
        <v>355</v>
      </c>
      <c r="J322" s="1">
        <v>23</v>
      </c>
      <c r="K322" s="1" t="str">
        <f>CONCATENATE(I322,J322)</f>
        <v>P23</v>
      </c>
      <c r="L322" s="1" t="s">
        <v>361</v>
      </c>
      <c r="M322" s="1">
        <v>376</v>
      </c>
      <c r="N322">
        <v>368</v>
      </c>
      <c r="O322" s="7" t="s">
        <v>369</v>
      </c>
      <c r="Q322" s="1" t="s">
        <v>336</v>
      </c>
      <c r="R322" s="15" t="s">
        <v>689</v>
      </c>
      <c r="T322" s="2" t="s">
        <v>129</v>
      </c>
      <c r="U322" s="2">
        <v>20.74</v>
      </c>
      <c r="V322" s="15" t="s">
        <v>1024</v>
      </c>
      <c r="W322" s="18" t="e">
        <f>T322-U322</f>
        <v>#VALUE!</v>
      </c>
      <c r="X322" s="15"/>
      <c r="Y322" s="15"/>
      <c r="Z322" s="1" t="s">
        <v>129</v>
      </c>
      <c r="AA322" s="15"/>
      <c r="AB322" s="15"/>
      <c r="AC322" s="15"/>
      <c r="AD322" s="15"/>
      <c r="AE322" s="15"/>
      <c r="AF322" s="15"/>
      <c r="AG322" s="29"/>
      <c r="AH322" s="29"/>
      <c r="AI322" s="29"/>
      <c r="AJ322" s="29"/>
      <c r="AK322" s="29"/>
      <c r="AL322" s="29"/>
      <c r="AN322" t="b">
        <f t="shared" si="3"/>
        <v>0</v>
      </c>
    </row>
    <row r="323" spans="1:40">
      <c r="A323" s="1">
        <v>24</v>
      </c>
      <c r="B323" s="1" t="s">
        <v>26</v>
      </c>
      <c r="C323" s="2">
        <v>22.193000000000001</v>
      </c>
      <c r="D323" s="2">
        <v>22.010999999999999</v>
      </c>
      <c r="E323" s="8" t="s">
        <v>203</v>
      </c>
      <c r="F323" s="8" t="s">
        <v>203</v>
      </c>
      <c r="G323" s="1" t="s">
        <v>203</v>
      </c>
      <c r="H323" s="1"/>
      <c r="I323" s="1" t="s">
        <v>342</v>
      </c>
      <c r="J323" s="1">
        <v>24</v>
      </c>
      <c r="K323" s="1" t="str">
        <f>CONCATENATE(I323,J323)</f>
        <v>A24</v>
      </c>
      <c r="L323" s="1" t="s">
        <v>360</v>
      </c>
      <c r="M323" s="1">
        <v>281</v>
      </c>
      <c r="N323">
        <v>369</v>
      </c>
      <c r="O323" s="7" t="s">
        <v>369</v>
      </c>
      <c r="Q323" s="1" t="s">
        <v>26</v>
      </c>
      <c r="R323" s="15" t="s">
        <v>571</v>
      </c>
      <c r="T323" s="2">
        <v>22.193000000000001</v>
      </c>
      <c r="U323" s="2">
        <v>22.010999999999999</v>
      </c>
      <c r="V323" s="15" t="s">
        <v>906</v>
      </c>
      <c r="W323" s="18">
        <f>T323-U323</f>
        <v>0.18200000000000216</v>
      </c>
      <c r="X323" s="30">
        <v>472.13</v>
      </c>
      <c r="Y323" s="30">
        <f>(X323-122)/3</f>
        <v>116.71</v>
      </c>
      <c r="Z323" s="1" t="s">
        <v>203</v>
      </c>
      <c r="AA323" s="15"/>
      <c r="AB323" s="15"/>
      <c r="AC323" s="15"/>
      <c r="AD323" s="15"/>
      <c r="AE323" s="15">
        <v>8508</v>
      </c>
      <c r="AF323" s="15">
        <v>2</v>
      </c>
      <c r="AG323" s="29"/>
      <c r="AH323" s="34"/>
      <c r="AI323" s="34"/>
      <c r="AJ323" s="34"/>
      <c r="AK323" s="34"/>
      <c r="AL323" s="34"/>
      <c r="AN323" t="b">
        <f t="shared" si="3"/>
        <v>0</v>
      </c>
    </row>
    <row r="324" spans="1:40">
      <c r="A324" s="1">
        <v>72</v>
      </c>
      <c r="B324" s="1" t="s">
        <v>70</v>
      </c>
      <c r="C324" s="2" t="s">
        <v>129</v>
      </c>
      <c r="D324" s="2">
        <v>20.934999999999999</v>
      </c>
      <c r="E324" s="8" t="s">
        <v>129</v>
      </c>
      <c r="F324" s="8" t="s">
        <v>203</v>
      </c>
      <c r="G324" s="1" t="s">
        <v>129</v>
      </c>
      <c r="H324" s="1"/>
      <c r="I324" s="1" t="s">
        <v>344</v>
      </c>
      <c r="J324" s="1">
        <v>24</v>
      </c>
      <c r="K324" s="1" t="str">
        <f>CONCATENATE(I324,J324)</f>
        <v>C24</v>
      </c>
      <c r="L324" s="1" t="s">
        <v>360</v>
      </c>
      <c r="M324" s="1">
        <v>283</v>
      </c>
      <c r="N324">
        <v>370</v>
      </c>
      <c r="O324" s="7" t="s">
        <v>369</v>
      </c>
      <c r="Q324" s="1" t="s">
        <v>70</v>
      </c>
      <c r="R324" s="15" t="s">
        <v>690</v>
      </c>
      <c r="T324" s="2" t="s">
        <v>129</v>
      </c>
      <c r="U324" s="2">
        <v>20.934999999999999</v>
      </c>
      <c r="V324" s="15" t="s">
        <v>1025</v>
      </c>
      <c r="W324" s="18" t="e">
        <f>T324-U324</f>
        <v>#VALUE!</v>
      </c>
      <c r="X324" s="15"/>
      <c r="Y324" s="15"/>
      <c r="Z324" s="1" t="s">
        <v>129</v>
      </c>
      <c r="AA324" s="15"/>
      <c r="AB324" s="15"/>
      <c r="AC324" s="15"/>
      <c r="AD324" s="15"/>
      <c r="AE324" s="15"/>
      <c r="AF324" s="19">
        <v>2</v>
      </c>
      <c r="AG324" s="34"/>
      <c r="AH324" s="29"/>
      <c r="AI324" s="29"/>
      <c r="AJ324" s="29"/>
      <c r="AK324" s="29"/>
      <c r="AL324" s="29"/>
      <c r="AN324" t="b">
        <f t="shared" si="3"/>
        <v>0</v>
      </c>
    </row>
    <row r="325" spans="1:40">
      <c r="A325" s="1">
        <v>120</v>
      </c>
      <c r="B325" s="1" t="s">
        <v>113</v>
      </c>
      <c r="C325" s="2">
        <v>33.805</v>
      </c>
      <c r="D325" s="2">
        <v>21.207999999999998</v>
      </c>
      <c r="E325" s="8" t="s">
        <v>366</v>
      </c>
      <c r="F325" s="8" t="s">
        <v>203</v>
      </c>
      <c r="G325" s="1" t="s">
        <v>129</v>
      </c>
      <c r="H325" s="1"/>
      <c r="I325" s="1" t="s">
        <v>346</v>
      </c>
      <c r="J325" s="1">
        <v>24</v>
      </c>
      <c r="K325" s="1" t="str">
        <f>CONCATENATE(I325,J325)</f>
        <v>E24</v>
      </c>
      <c r="L325" s="1" t="s">
        <v>360</v>
      </c>
      <c r="M325" s="1">
        <v>285</v>
      </c>
      <c r="N325">
        <v>371</v>
      </c>
      <c r="O325" s="7" t="s">
        <v>369</v>
      </c>
      <c r="Q325" s="1" t="s">
        <v>113</v>
      </c>
      <c r="R325" s="15" t="s">
        <v>630</v>
      </c>
      <c r="T325" s="2">
        <v>33.805</v>
      </c>
      <c r="U325" s="2">
        <v>21.207999999999998</v>
      </c>
      <c r="V325" s="15" t="s">
        <v>965</v>
      </c>
      <c r="W325" s="18">
        <f>T325-U325</f>
        <v>12.597000000000001</v>
      </c>
      <c r="X325" s="15"/>
      <c r="Y325" s="15"/>
      <c r="Z325" s="1" t="s">
        <v>129</v>
      </c>
      <c r="AA325" s="15"/>
      <c r="AB325" s="15"/>
      <c r="AC325" s="15"/>
      <c r="AD325" s="15"/>
      <c r="AE325" s="15"/>
      <c r="AF325" s="15"/>
      <c r="AG325" s="29"/>
      <c r="AH325" s="29"/>
      <c r="AI325" s="29"/>
      <c r="AJ325" s="29"/>
      <c r="AK325" s="29"/>
      <c r="AL325" s="29"/>
      <c r="AN325" t="b">
        <f t="shared" si="3"/>
        <v>0</v>
      </c>
    </row>
    <row r="326" spans="1:40">
      <c r="A326" s="1">
        <v>168</v>
      </c>
      <c r="B326" s="1" t="s">
        <v>156</v>
      </c>
      <c r="C326" s="2">
        <v>21.652999999999999</v>
      </c>
      <c r="D326" s="2">
        <v>21.425000000000001</v>
      </c>
      <c r="E326" s="8" t="s">
        <v>203</v>
      </c>
      <c r="F326" s="8" t="s">
        <v>203</v>
      </c>
      <c r="G326" s="1" t="s">
        <v>203</v>
      </c>
      <c r="H326" s="1"/>
      <c r="I326" s="1" t="s">
        <v>348</v>
      </c>
      <c r="J326" s="1">
        <v>24</v>
      </c>
      <c r="K326" s="1" t="str">
        <f>CONCATENATE(I326,J326)</f>
        <v>G24</v>
      </c>
      <c r="L326" s="1" t="s">
        <v>360</v>
      </c>
      <c r="M326" s="1">
        <v>287</v>
      </c>
      <c r="N326">
        <v>372</v>
      </c>
      <c r="O326" s="7" t="s">
        <v>369</v>
      </c>
      <c r="Q326" s="1" t="s">
        <v>156</v>
      </c>
      <c r="R326" s="15" t="s">
        <v>572</v>
      </c>
      <c r="T326" s="2">
        <v>21.652999999999999</v>
      </c>
      <c r="U326" s="2">
        <v>21.425000000000001</v>
      </c>
      <c r="V326" s="15" t="s">
        <v>907</v>
      </c>
      <c r="W326" s="18">
        <f>T326-U326</f>
        <v>0.22799999999999798</v>
      </c>
      <c r="X326" s="30">
        <v>469.18</v>
      </c>
      <c r="Y326" s="30">
        <f>(X326-122)/3</f>
        <v>115.72666666666667</v>
      </c>
      <c r="Z326" s="1" t="s">
        <v>203</v>
      </c>
      <c r="AA326" s="15"/>
      <c r="AB326" s="15"/>
      <c r="AC326" s="15"/>
      <c r="AD326" s="15"/>
      <c r="AE326" s="15">
        <v>10261</v>
      </c>
      <c r="AF326" s="15">
        <v>2</v>
      </c>
      <c r="AG326" s="29"/>
      <c r="AH326" s="29"/>
      <c r="AI326" s="29"/>
      <c r="AJ326" s="29"/>
      <c r="AK326" s="29"/>
      <c r="AL326" s="29"/>
      <c r="AN326" t="b">
        <f t="shared" si="3"/>
        <v>0</v>
      </c>
    </row>
    <row r="327" spans="1:40">
      <c r="A327" s="1">
        <v>216</v>
      </c>
      <c r="B327" s="1" t="s">
        <v>199</v>
      </c>
      <c r="C327" s="2">
        <v>24.861999999999998</v>
      </c>
      <c r="D327" s="2">
        <v>25.157</v>
      </c>
      <c r="E327" s="8" t="s">
        <v>203</v>
      </c>
      <c r="F327" s="8" t="s">
        <v>203</v>
      </c>
      <c r="G327" s="1" t="s">
        <v>203</v>
      </c>
      <c r="H327" s="1"/>
      <c r="I327" s="1" t="s">
        <v>350</v>
      </c>
      <c r="J327" s="1">
        <v>24</v>
      </c>
      <c r="K327" s="1" t="str">
        <f>CONCATENATE(I327,J327)</f>
        <v>I24</v>
      </c>
      <c r="L327" s="1" t="s">
        <v>361</v>
      </c>
      <c r="M327" s="1">
        <v>377</v>
      </c>
      <c r="N327">
        <v>373</v>
      </c>
      <c r="O327" s="7" t="s">
        <v>369</v>
      </c>
      <c r="Q327" s="1" t="s">
        <v>199</v>
      </c>
      <c r="R327" s="15" t="s">
        <v>573</v>
      </c>
      <c r="T327" s="2">
        <v>24.861999999999998</v>
      </c>
      <c r="U327" s="2">
        <v>25.157</v>
      </c>
      <c r="V327" s="15" t="s">
        <v>908</v>
      </c>
      <c r="W327" s="18">
        <f>T327-U327</f>
        <v>-0.29500000000000171</v>
      </c>
      <c r="X327" s="30">
        <v>469.18</v>
      </c>
      <c r="Y327" s="30">
        <f>(X327-122)/3</f>
        <v>115.72666666666667</v>
      </c>
      <c r="Z327" s="1" t="s">
        <v>203</v>
      </c>
      <c r="AA327" s="15"/>
      <c r="AB327" s="15"/>
      <c r="AC327" s="15"/>
      <c r="AD327" s="15"/>
      <c r="AE327" s="15">
        <v>5107</v>
      </c>
      <c r="AF327" s="15"/>
      <c r="AG327" s="29"/>
      <c r="AH327" s="29"/>
      <c r="AI327" s="29"/>
      <c r="AJ327" s="29"/>
      <c r="AK327" s="29"/>
      <c r="AL327" s="29"/>
      <c r="AN327" t="b">
        <f t="shared" si="3"/>
        <v>0</v>
      </c>
    </row>
    <row r="328" spans="1:40">
      <c r="A328" s="1">
        <v>264</v>
      </c>
      <c r="B328" s="1" t="s">
        <v>240</v>
      </c>
      <c r="C328" s="2">
        <v>21.536000000000001</v>
      </c>
      <c r="D328" s="2">
        <v>21.282</v>
      </c>
      <c r="E328" s="8" t="s">
        <v>203</v>
      </c>
      <c r="F328" s="8" t="s">
        <v>203</v>
      </c>
      <c r="G328" s="1" t="s">
        <v>203</v>
      </c>
      <c r="H328" s="1"/>
      <c r="I328" s="1" t="s">
        <v>352</v>
      </c>
      <c r="J328" s="1">
        <v>24</v>
      </c>
      <c r="K328" s="1" t="str">
        <f>CONCATENATE(I328,J328)</f>
        <v>K24</v>
      </c>
      <c r="L328" s="1" t="s">
        <v>361</v>
      </c>
      <c r="M328" s="1">
        <v>379</v>
      </c>
      <c r="N328">
        <v>374</v>
      </c>
      <c r="O328" s="7" t="s">
        <v>369</v>
      </c>
      <c r="Q328" s="1" t="s">
        <v>240</v>
      </c>
      <c r="R328" s="15" t="s">
        <v>574</v>
      </c>
      <c r="T328" s="2">
        <v>21.536000000000001</v>
      </c>
      <c r="U328" s="2">
        <v>21.282</v>
      </c>
      <c r="V328" s="15" t="s">
        <v>909</v>
      </c>
      <c r="W328" s="18">
        <f>T328-U328</f>
        <v>0.25400000000000134</v>
      </c>
      <c r="X328" s="30">
        <v>469.31</v>
      </c>
      <c r="Y328" s="30">
        <f>(X328-122)/3</f>
        <v>115.77</v>
      </c>
      <c r="Z328" s="1" t="s">
        <v>203</v>
      </c>
      <c r="AA328" s="15"/>
      <c r="AB328" s="15"/>
      <c r="AC328" s="15"/>
      <c r="AD328" s="15"/>
      <c r="AE328" s="15">
        <v>2422</v>
      </c>
      <c r="AF328" s="15"/>
      <c r="AG328" s="29"/>
      <c r="AH328" s="29"/>
      <c r="AI328" s="29"/>
      <c r="AJ328" s="29"/>
      <c r="AK328" s="29"/>
      <c r="AL328" s="29"/>
      <c r="AN328" t="b">
        <f t="shared" si="3"/>
        <v>0</v>
      </c>
    </row>
    <row r="329" spans="1:40">
      <c r="A329" s="1">
        <v>312</v>
      </c>
      <c r="B329" s="1" t="s">
        <v>279</v>
      </c>
      <c r="C329" s="2" t="s">
        <v>129</v>
      </c>
      <c r="D329" s="2">
        <v>23.83</v>
      </c>
      <c r="E329" s="8" t="s">
        <v>129</v>
      </c>
      <c r="F329" s="8" t="s">
        <v>203</v>
      </c>
      <c r="G329" s="1" t="s">
        <v>129</v>
      </c>
      <c r="H329" s="1"/>
      <c r="I329" s="1" t="s">
        <v>353</v>
      </c>
      <c r="J329" s="1">
        <v>24</v>
      </c>
      <c r="K329" s="1" t="str">
        <f>CONCATENATE(I329,J329)</f>
        <v>M24</v>
      </c>
      <c r="L329" s="1" t="s">
        <v>361</v>
      </c>
      <c r="M329" s="1">
        <v>381</v>
      </c>
      <c r="N329">
        <v>375</v>
      </c>
      <c r="O329" s="7" t="s">
        <v>369</v>
      </c>
      <c r="Q329" s="1" t="s">
        <v>279</v>
      </c>
      <c r="R329" s="15" t="s">
        <v>691</v>
      </c>
      <c r="T329" s="2" t="s">
        <v>129</v>
      </c>
      <c r="U329" s="2">
        <v>23.83</v>
      </c>
      <c r="V329" s="15" t="s">
        <v>1026</v>
      </c>
      <c r="W329" s="18" t="e">
        <f>T329-U329</f>
        <v>#VALUE!</v>
      </c>
      <c r="X329" s="15"/>
      <c r="Y329" s="15"/>
      <c r="Z329" s="1" t="s">
        <v>129</v>
      </c>
      <c r="AA329" s="15"/>
      <c r="AB329" s="15"/>
      <c r="AC329" s="15"/>
      <c r="AD329" s="15"/>
      <c r="AE329" s="15"/>
      <c r="AF329" s="19">
        <v>2</v>
      </c>
      <c r="AG329" s="34"/>
      <c r="AH329" s="34"/>
      <c r="AI329" s="34"/>
      <c r="AJ329" s="34"/>
      <c r="AK329" s="34"/>
      <c r="AL329" s="34"/>
      <c r="AN329" t="b">
        <f t="shared" si="3"/>
        <v>0</v>
      </c>
    </row>
    <row r="330" spans="1:40">
      <c r="A330" s="1">
        <v>360</v>
      </c>
      <c r="B330" s="1" t="s">
        <v>318</v>
      </c>
      <c r="C330" s="2" t="s">
        <v>129</v>
      </c>
      <c r="D330" s="2">
        <v>20.870999999999999</v>
      </c>
      <c r="E330" s="8" t="s">
        <v>129</v>
      </c>
      <c r="F330" s="8" t="s">
        <v>203</v>
      </c>
      <c r="G330" s="1" t="s">
        <v>129</v>
      </c>
      <c r="H330" s="1"/>
      <c r="I330" s="1" t="s">
        <v>354</v>
      </c>
      <c r="J330" s="1">
        <v>24</v>
      </c>
      <c r="K330" s="1" t="str">
        <f>CONCATENATE(I330,J330)</f>
        <v>O24</v>
      </c>
      <c r="L330" s="1" t="s">
        <v>361</v>
      </c>
      <c r="M330" s="1">
        <v>383</v>
      </c>
      <c r="N330">
        <v>376</v>
      </c>
      <c r="O330" s="7" t="s">
        <v>369</v>
      </c>
      <c r="Q330" s="1" t="s">
        <v>318</v>
      </c>
      <c r="R330" s="15" t="s">
        <v>692</v>
      </c>
      <c r="T330" s="2" t="s">
        <v>129</v>
      </c>
      <c r="U330" s="2">
        <v>20.870999999999999</v>
      </c>
      <c r="V330" s="15" t="s">
        <v>1027</v>
      </c>
      <c r="W330" s="18" t="e">
        <f>T330-U330</f>
        <v>#VALUE!</v>
      </c>
      <c r="X330" s="15"/>
      <c r="Y330" s="15"/>
      <c r="Z330" s="1" t="s">
        <v>129</v>
      </c>
      <c r="AA330" s="15"/>
      <c r="AB330" s="15"/>
      <c r="AC330" s="15"/>
      <c r="AD330" s="15"/>
      <c r="AE330" s="15"/>
      <c r="AF330" s="15"/>
      <c r="AG330" s="29"/>
      <c r="AH330" s="29"/>
      <c r="AI330" s="29"/>
      <c r="AJ330" s="29"/>
      <c r="AK330" s="29"/>
      <c r="AL330" s="29"/>
      <c r="AN330" t="b">
        <f t="shared" si="3"/>
        <v>0</v>
      </c>
    </row>
    <row r="331" spans="1:40">
      <c r="A331" s="1">
        <v>48</v>
      </c>
      <c r="B331" s="1" t="s">
        <v>48</v>
      </c>
      <c r="C331" s="2" t="s">
        <v>129</v>
      </c>
      <c r="D331" s="2">
        <v>21.584</v>
      </c>
      <c r="E331" s="8" t="s">
        <v>129</v>
      </c>
      <c r="F331" s="8" t="s">
        <v>203</v>
      </c>
      <c r="G331" s="1" t="s">
        <v>129</v>
      </c>
      <c r="H331" s="1"/>
      <c r="I331" s="1" t="s">
        <v>343</v>
      </c>
      <c r="J331" s="1">
        <v>24</v>
      </c>
      <c r="K331" s="1" t="str">
        <f>CONCATENATE(I331,J331)</f>
        <v>B24</v>
      </c>
      <c r="L331" s="1" t="s">
        <v>360</v>
      </c>
      <c r="M331" s="1">
        <v>282</v>
      </c>
      <c r="N331">
        <v>377</v>
      </c>
      <c r="O331" s="7" t="s">
        <v>369</v>
      </c>
      <c r="Q331" s="1" t="s">
        <v>48</v>
      </c>
      <c r="R331" s="15" t="s">
        <v>693</v>
      </c>
      <c r="T331" s="2" t="s">
        <v>129</v>
      </c>
      <c r="U331" s="2">
        <v>21.584</v>
      </c>
      <c r="V331" s="15" t="s">
        <v>1028</v>
      </c>
      <c r="W331" s="18" t="e">
        <f>T331-U331</f>
        <v>#VALUE!</v>
      </c>
      <c r="X331" s="15"/>
      <c r="Y331" s="15"/>
      <c r="Z331" s="1" t="s">
        <v>129</v>
      </c>
      <c r="AA331" s="15"/>
      <c r="AB331" s="15"/>
      <c r="AC331" s="15"/>
      <c r="AD331" s="15"/>
      <c r="AE331" s="15"/>
      <c r="AF331" s="15"/>
      <c r="AG331" s="29"/>
      <c r="AH331" s="29"/>
      <c r="AI331" s="29"/>
      <c r="AJ331" s="29"/>
      <c r="AK331" s="29"/>
      <c r="AL331" s="29"/>
      <c r="AN331" t="b">
        <f t="shared" si="3"/>
        <v>0</v>
      </c>
    </row>
    <row r="332" spans="1:40">
      <c r="A332" s="1">
        <v>96</v>
      </c>
      <c r="B332" s="1" t="s">
        <v>92</v>
      </c>
      <c r="C332" s="2">
        <v>34.615000000000002</v>
      </c>
      <c r="D332" s="2">
        <v>23.652000000000001</v>
      </c>
      <c r="E332" s="8" t="s">
        <v>366</v>
      </c>
      <c r="F332" s="8" t="s">
        <v>203</v>
      </c>
      <c r="G332" s="1" t="s">
        <v>129</v>
      </c>
      <c r="H332" s="1"/>
      <c r="I332" s="1" t="s">
        <v>345</v>
      </c>
      <c r="J332" s="1">
        <v>24</v>
      </c>
      <c r="K332" s="1" t="str">
        <f>CONCATENATE(I332,J332)</f>
        <v>D24</v>
      </c>
      <c r="L332" s="1" t="s">
        <v>360</v>
      </c>
      <c r="M332" s="1">
        <v>284</v>
      </c>
      <c r="N332">
        <v>378</v>
      </c>
      <c r="O332" s="7" t="s">
        <v>369</v>
      </c>
      <c r="Q332" s="1" t="s">
        <v>92</v>
      </c>
      <c r="R332" s="15" t="s">
        <v>631</v>
      </c>
      <c r="T332" s="2">
        <v>34.615000000000002</v>
      </c>
      <c r="U332" s="2">
        <v>23.652000000000001</v>
      </c>
      <c r="V332" s="15" t="s">
        <v>966</v>
      </c>
      <c r="W332" s="18">
        <f>T332-U332</f>
        <v>10.963000000000001</v>
      </c>
      <c r="X332" s="15"/>
      <c r="Y332" s="15"/>
      <c r="Z332" s="1" t="s">
        <v>129</v>
      </c>
      <c r="AA332" s="15"/>
      <c r="AB332" s="15"/>
      <c r="AC332" s="15"/>
      <c r="AD332" s="15"/>
      <c r="AE332" s="15"/>
      <c r="AF332" s="15"/>
      <c r="AG332" s="29"/>
      <c r="AN332" t="b">
        <f t="shared" si="3"/>
        <v>0</v>
      </c>
    </row>
    <row r="333" spans="1:40">
      <c r="A333" s="1">
        <v>144</v>
      </c>
      <c r="B333" s="1" t="s">
        <v>135</v>
      </c>
      <c r="C333" s="2">
        <v>22.382999999999999</v>
      </c>
      <c r="D333" s="2">
        <v>22.111999999999998</v>
      </c>
      <c r="E333" s="8" t="s">
        <v>203</v>
      </c>
      <c r="F333" s="8" t="s">
        <v>203</v>
      </c>
      <c r="G333" s="1" t="s">
        <v>203</v>
      </c>
      <c r="H333" s="1"/>
      <c r="I333" s="1" t="s">
        <v>347</v>
      </c>
      <c r="J333" s="1">
        <v>24</v>
      </c>
      <c r="K333" s="1" t="str">
        <f>CONCATENATE(I333,J333)</f>
        <v>F24</v>
      </c>
      <c r="L333" s="1" t="s">
        <v>360</v>
      </c>
      <c r="M333" s="1">
        <v>286</v>
      </c>
      <c r="N333">
        <v>379</v>
      </c>
      <c r="O333" s="7" t="s">
        <v>369</v>
      </c>
      <c r="Q333" s="1" t="s">
        <v>135</v>
      </c>
      <c r="R333" s="15" t="s">
        <v>575</v>
      </c>
      <c r="T333" s="2">
        <v>22.382999999999999</v>
      </c>
      <c r="U333" s="2">
        <v>22.111999999999998</v>
      </c>
      <c r="V333" s="15" t="s">
        <v>910</v>
      </c>
      <c r="W333" s="18">
        <f>T333-U333</f>
        <v>0.2710000000000008</v>
      </c>
      <c r="X333" s="30">
        <v>471.73</v>
      </c>
      <c r="Y333" s="30">
        <f>(X333-122)/3</f>
        <v>116.57666666666667</v>
      </c>
      <c r="Z333" s="1" t="s">
        <v>203</v>
      </c>
      <c r="AA333" s="15"/>
      <c r="AB333" s="15"/>
      <c r="AC333" s="15"/>
      <c r="AD333" s="15"/>
      <c r="AE333" s="15">
        <v>6265</v>
      </c>
      <c r="AF333" s="15">
        <v>2</v>
      </c>
      <c r="AG333" s="29"/>
      <c r="AN333" t="b">
        <f>R327=AM333</f>
        <v>0</v>
      </c>
    </row>
    <row r="334" spans="1:40">
      <c r="A334" s="1">
        <v>192</v>
      </c>
      <c r="B334" s="1" t="s">
        <v>178</v>
      </c>
      <c r="C334" s="2">
        <v>21.736000000000001</v>
      </c>
      <c r="D334" s="2">
        <v>21.294</v>
      </c>
      <c r="E334" s="8" t="s">
        <v>203</v>
      </c>
      <c r="F334" s="8" t="s">
        <v>203</v>
      </c>
      <c r="G334" s="1" t="s">
        <v>203</v>
      </c>
      <c r="H334" s="1"/>
      <c r="I334" s="1" t="s">
        <v>349</v>
      </c>
      <c r="J334" s="1">
        <v>24</v>
      </c>
      <c r="K334" s="1" t="str">
        <f>CONCATENATE(I334,J334)</f>
        <v>H24</v>
      </c>
      <c r="L334" s="1" t="s">
        <v>360</v>
      </c>
      <c r="M334" s="1">
        <v>288</v>
      </c>
      <c r="N334">
        <v>380</v>
      </c>
      <c r="O334" s="7" t="s">
        <v>369</v>
      </c>
      <c r="Q334" s="1" t="s">
        <v>178</v>
      </c>
      <c r="R334" s="15" t="s">
        <v>576</v>
      </c>
      <c r="T334" s="2">
        <v>21.736000000000001</v>
      </c>
      <c r="U334" s="2">
        <v>21.294</v>
      </c>
      <c r="V334" s="15" t="s">
        <v>911</v>
      </c>
      <c r="W334" s="18">
        <f>T334-U334</f>
        <v>0.44200000000000017</v>
      </c>
      <c r="X334" s="30">
        <v>472.02</v>
      </c>
      <c r="Y334" s="30">
        <f>(X334-122)/3</f>
        <v>116.67333333333333</v>
      </c>
      <c r="Z334" s="1" t="s">
        <v>203</v>
      </c>
      <c r="AA334" s="15"/>
      <c r="AB334" s="15"/>
      <c r="AC334" s="15"/>
      <c r="AD334" s="15"/>
      <c r="AE334" s="15">
        <v>3753</v>
      </c>
      <c r="AF334" s="15"/>
      <c r="AG334" s="29"/>
      <c r="AN334" t="b">
        <f>R328=AM334</f>
        <v>0</v>
      </c>
    </row>
    <row r="335" spans="1:40">
      <c r="A335" s="1">
        <v>240</v>
      </c>
      <c r="B335" s="1" t="s">
        <v>219</v>
      </c>
      <c r="C335" s="2" t="s">
        <v>129</v>
      </c>
      <c r="D335" s="2">
        <v>21.532</v>
      </c>
      <c r="E335" s="8" t="s">
        <v>129</v>
      </c>
      <c r="F335" s="8" t="s">
        <v>203</v>
      </c>
      <c r="G335" s="1" t="s">
        <v>129</v>
      </c>
      <c r="H335" s="1"/>
      <c r="I335" s="1" t="s">
        <v>351</v>
      </c>
      <c r="J335" s="1">
        <v>24</v>
      </c>
      <c r="K335" s="1" t="str">
        <f>CONCATENATE(I335,J335)</f>
        <v>J24</v>
      </c>
      <c r="L335" s="1" t="s">
        <v>361</v>
      </c>
      <c r="M335" s="1">
        <v>378</v>
      </c>
      <c r="N335">
        <v>381</v>
      </c>
      <c r="O335" s="7" t="s">
        <v>369</v>
      </c>
      <c r="Q335" s="1" t="s">
        <v>219</v>
      </c>
      <c r="R335" s="15" t="s">
        <v>694</v>
      </c>
      <c r="T335" s="2" t="s">
        <v>129</v>
      </c>
      <c r="U335" s="2">
        <v>21.532</v>
      </c>
      <c r="V335" s="15" t="s">
        <v>1029</v>
      </c>
      <c r="W335" s="18" t="e">
        <f>T335-U335</f>
        <v>#VALUE!</v>
      </c>
      <c r="X335" s="15"/>
      <c r="Y335" s="15"/>
      <c r="Z335" s="1" t="s">
        <v>129</v>
      </c>
      <c r="AA335" s="15"/>
      <c r="AB335" s="15"/>
      <c r="AC335" s="15"/>
      <c r="AD335" s="15"/>
      <c r="AE335" s="15"/>
      <c r="AF335" s="19">
        <v>2</v>
      </c>
      <c r="AG335" s="34"/>
      <c r="AN335" t="b">
        <f>R329=AM335</f>
        <v>0</v>
      </c>
    </row>
    <row r="336" spans="1:40">
      <c r="A336" s="1">
        <v>288</v>
      </c>
      <c r="B336" s="1" t="s">
        <v>259</v>
      </c>
      <c r="C336" s="2">
        <v>22.303000000000001</v>
      </c>
      <c r="D336" s="2">
        <v>22.172999999999998</v>
      </c>
      <c r="E336" s="8" t="s">
        <v>203</v>
      </c>
      <c r="F336" s="8" t="s">
        <v>203</v>
      </c>
      <c r="G336" s="1" t="s">
        <v>203</v>
      </c>
      <c r="H336" s="1"/>
      <c r="I336" s="1" t="s">
        <v>357</v>
      </c>
      <c r="J336" s="1">
        <v>24</v>
      </c>
      <c r="K336" s="1" t="str">
        <f>CONCATENATE(I336,J336)</f>
        <v>L24</v>
      </c>
      <c r="L336" s="1" t="s">
        <v>361</v>
      </c>
      <c r="M336" s="1">
        <v>380</v>
      </c>
      <c r="N336">
        <v>382</v>
      </c>
      <c r="O336" s="7" t="s">
        <v>369</v>
      </c>
      <c r="Q336" s="1" t="s">
        <v>259</v>
      </c>
      <c r="R336" s="15" t="s">
        <v>577</v>
      </c>
      <c r="T336" s="2">
        <v>22.303000000000001</v>
      </c>
      <c r="U336" s="2">
        <v>22.172999999999998</v>
      </c>
      <c r="V336" s="15" t="s">
        <v>912</v>
      </c>
      <c r="W336" s="18">
        <f>T336-U336</f>
        <v>0.13000000000000256</v>
      </c>
      <c r="X336" s="30">
        <v>466.6</v>
      </c>
      <c r="Y336" s="30">
        <f>(X336-122)/3</f>
        <v>114.86666666666667</v>
      </c>
      <c r="Z336" s="1" t="s">
        <v>203</v>
      </c>
      <c r="AA336" s="15"/>
      <c r="AB336" s="15"/>
      <c r="AC336" s="15"/>
      <c r="AD336" s="15"/>
      <c r="AE336" s="15">
        <v>9042</v>
      </c>
      <c r="AF336" s="15">
        <v>2</v>
      </c>
      <c r="AG336" s="29"/>
      <c r="AN336" t="b">
        <f>R330=AM336</f>
        <v>0</v>
      </c>
    </row>
    <row r="337" spans="1:40">
      <c r="A337" s="1">
        <v>336</v>
      </c>
      <c r="B337" s="1" t="s">
        <v>298</v>
      </c>
      <c r="C337" s="2">
        <v>22.46</v>
      </c>
      <c r="D337" s="2">
        <v>22.347999999999999</v>
      </c>
      <c r="E337" s="8" t="s">
        <v>203</v>
      </c>
      <c r="F337" s="8" t="s">
        <v>203</v>
      </c>
      <c r="G337" s="1" t="s">
        <v>203</v>
      </c>
      <c r="H337" s="1"/>
      <c r="I337" s="1" t="s">
        <v>4</v>
      </c>
      <c r="J337" s="1">
        <v>24</v>
      </c>
      <c r="K337" s="1" t="str">
        <f>CONCATENATE(I337,J337)</f>
        <v>N24</v>
      </c>
      <c r="L337" s="1" t="s">
        <v>361</v>
      </c>
      <c r="M337" s="1">
        <v>382</v>
      </c>
      <c r="N337">
        <v>383</v>
      </c>
      <c r="O337" s="7" t="s">
        <v>369</v>
      </c>
      <c r="Q337" s="1" t="s">
        <v>298</v>
      </c>
      <c r="R337" s="15" t="s">
        <v>578</v>
      </c>
      <c r="T337" s="2">
        <v>22.46</v>
      </c>
      <c r="U337" s="2">
        <v>22.347999999999999</v>
      </c>
      <c r="V337" s="15" t="s">
        <v>913</v>
      </c>
      <c r="W337" s="18">
        <f>T337-U337</f>
        <v>0.11200000000000188</v>
      </c>
      <c r="X337" s="30">
        <v>468.75</v>
      </c>
      <c r="Y337" s="30">
        <f>(X337-122)/3</f>
        <v>115.58333333333333</v>
      </c>
      <c r="Z337" s="1" t="s">
        <v>203</v>
      </c>
      <c r="AA337" s="15"/>
      <c r="AB337" s="15"/>
      <c r="AC337" s="15"/>
      <c r="AD337" s="15"/>
      <c r="AE337" s="15">
        <v>4526</v>
      </c>
      <c r="AF337" s="15"/>
      <c r="AG337" s="29"/>
      <c r="AN337" t="b">
        <f>R331=AM337</f>
        <v>0</v>
      </c>
    </row>
    <row r="338" spans="1:40">
      <c r="Q338"/>
      <c r="T338"/>
      <c r="U338"/>
      <c r="Z338"/>
      <c r="AN338" t="b">
        <f>R332=AM338</f>
        <v>0</v>
      </c>
    </row>
    <row r="339" spans="1:40">
      <c r="Q339"/>
      <c r="T339"/>
      <c r="U339"/>
      <c r="Z339"/>
      <c r="AN339" t="b">
        <f>R333=AM339</f>
        <v>0</v>
      </c>
    </row>
    <row r="340" spans="1:40">
      <c r="Q340"/>
      <c r="T340"/>
      <c r="U340"/>
      <c r="Z340"/>
      <c r="AN340" t="b">
        <f>R334=AM340</f>
        <v>0</v>
      </c>
    </row>
    <row r="341" spans="1:40">
      <c r="Q341"/>
      <c r="T341"/>
      <c r="U341"/>
      <c r="Z341"/>
      <c r="AN341" t="b">
        <f>R335=AM341</f>
        <v>0</v>
      </c>
    </row>
    <row r="342" spans="1:40">
      <c r="Q342"/>
      <c r="T342"/>
      <c r="U342"/>
      <c r="Z342"/>
    </row>
    <row r="343" spans="1:40">
      <c r="Q343"/>
      <c r="T343"/>
      <c r="U343"/>
      <c r="Z343"/>
    </row>
    <row r="344" spans="1:40">
      <c r="Q344"/>
      <c r="T344"/>
      <c r="U344"/>
      <c r="Z344"/>
    </row>
    <row r="345" spans="1:40">
      <c r="Q345"/>
      <c r="T345"/>
      <c r="U345"/>
      <c r="Z345"/>
    </row>
    <row r="346" spans="1:40">
      <c r="Q346"/>
      <c r="T346"/>
      <c r="U346"/>
      <c r="Z346"/>
    </row>
    <row r="347" spans="1:40">
      <c r="Q347"/>
      <c r="T347"/>
      <c r="U347"/>
      <c r="Z347"/>
    </row>
    <row r="348" spans="1:40">
      <c r="Q348"/>
      <c r="T348"/>
      <c r="U348"/>
      <c r="Z348"/>
    </row>
    <row r="349" spans="1:40">
      <c r="Q349"/>
      <c r="T349"/>
      <c r="U349"/>
      <c r="Z349"/>
    </row>
    <row r="350" spans="1:40">
      <c r="Q350"/>
      <c r="T350"/>
      <c r="U350"/>
      <c r="Z350"/>
    </row>
    <row r="351" spans="1:40">
      <c r="Q351"/>
      <c r="T351"/>
      <c r="U351"/>
      <c r="Z351"/>
    </row>
    <row r="352" spans="1:40">
      <c r="Q352"/>
      <c r="T352"/>
      <c r="U352"/>
      <c r="Z352"/>
    </row>
    <row r="353" spans="17:26">
      <c r="Q353"/>
      <c r="T353"/>
      <c r="U353"/>
      <c r="Z353"/>
    </row>
    <row r="354" spans="17:26">
      <c r="Q354"/>
      <c r="T354"/>
      <c r="U354"/>
      <c r="Z354"/>
    </row>
    <row r="355" spans="17:26">
      <c r="Q355"/>
      <c r="T355"/>
      <c r="U355"/>
      <c r="Z355"/>
    </row>
    <row r="356" spans="17:26">
      <c r="Q356"/>
      <c r="T356"/>
      <c r="U356"/>
      <c r="Z356"/>
    </row>
    <row r="357" spans="17:26">
      <c r="Q357"/>
      <c r="T357"/>
      <c r="U357"/>
      <c r="Z357"/>
    </row>
    <row r="358" spans="17:26">
      <c r="Q358"/>
      <c r="T358"/>
      <c r="U358"/>
      <c r="Z358"/>
    </row>
    <row r="359" spans="17:26">
      <c r="Q359"/>
      <c r="T359"/>
      <c r="U359"/>
      <c r="Z359"/>
    </row>
    <row r="360" spans="17:26">
      <c r="Q360"/>
      <c r="T360"/>
      <c r="U360"/>
      <c r="Z360"/>
    </row>
    <row r="361" spans="17:26">
      <c r="Q361"/>
      <c r="T361"/>
      <c r="U361"/>
      <c r="Z361"/>
    </row>
    <row r="362" spans="17:26">
      <c r="Q362"/>
      <c r="T362"/>
      <c r="U362"/>
      <c r="Z362"/>
    </row>
    <row r="363" spans="17:26">
      <c r="Q363"/>
      <c r="T363"/>
      <c r="U363"/>
      <c r="Z363"/>
    </row>
    <row r="364" spans="17:26">
      <c r="Q364"/>
      <c r="T364"/>
      <c r="U364"/>
      <c r="Z364"/>
    </row>
    <row r="365" spans="17:26">
      <c r="Q365"/>
      <c r="T365"/>
      <c r="U365"/>
      <c r="Z365"/>
    </row>
    <row r="366" spans="17:26">
      <c r="Q366"/>
      <c r="T366"/>
      <c r="U366"/>
      <c r="Z366"/>
    </row>
    <row r="367" spans="17:26">
      <c r="Q367"/>
      <c r="T367"/>
      <c r="U367"/>
      <c r="Z367"/>
    </row>
    <row r="368" spans="17:26">
      <c r="Q368"/>
      <c r="T368"/>
      <c r="U368"/>
      <c r="Z368"/>
    </row>
    <row r="369" spans="17:26">
      <c r="Q369"/>
      <c r="T369"/>
      <c r="U369"/>
      <c r="Z369"/>
    </row>
    <row r="370" spans="17:26">
      <c r="Q370"/>
      <c r="T370"/>
      <c r="U370"/>
      <c r="Z370"/>
    </row>
    <row r="371" spans="17:26">
      <c r="Q371"/>
      <c r="T371"/>
      <c r="U371"/>
      <c r="Z371"/>
    </row>
    <row r="372" spans="17:26">
      <c r="Q372"/>
      <c r="T372"/>
      <c r="U372"/>
      <c r="Z372"/>
    </row>
    <row r="373" spans="17:26">
      <c r="Q373"/>
      <c r="T373"/>
      <c r="U373"/>
      <c r="Z373"/>
    </row>
    <row r="374" spans="17:26">
      <c r="Q374"/>
      <c r="T374"/>
      <c r="U374"/>
      <c r="Z374"/>
    </row>
  </sheetData>
  <sortState xmlns:xlrd2="http://schemas.microsoft.com/office/spreadsheetml/2017/richdata2" ref="A2:BB368">
    <sortCondition ref="N2:N368"/>
    <sortCondition ref="X2:X368"/>
  </sortState>
  <phoneticPr fontId="18" type="noConversion"/>
  <conditionalFormatting sqref="A2:N337 AO2:AO4 AV2:XFD4 AF336:AG336 AH332:AL1048576 AH332:AM336 AH301:AL330 AM301:AM341 AI2:AI228 AH249:AI300 AL3:AM228 AK249:AM300 AH65:AH228 AK65:AK228 AO5:XFD1048576 AM342:AN1048576 AN2:AN341 T336:AE337 A1:R1 T1:XFD1 A338:R1048576 T338:AG1048576 P2:R337 T2:AG335">
    <cfRule type="containsText" dxfId="13" priority="97" operator="containsText" text="RT">
      <formula>NOT(ISERROR(SEARCH("RT",A1)))</formula>
    </cfRule>
  </conditionalFormatting>
  <conditionalFormatting sqref="AM1:XFD1 AO2:AO4 AV2:XFD4 AF336:AG336 AH332:AL1048576 AH332:AM336 AH301:AL330 AI2:AN213 AH65:AH228 AH249:AM300 AI214:AM228 AM301:AM320 AO5:XFD1048576 AM321:AN1048576 AN214:AN332 T336:AE337 T1:AL13 T338:AG1048576 A1:R1048576 T14:AG335">
    <cfRule type="containsText" dxfId="12" priority="94" operator="containsText" text="fALSE">
      <formula>NOT(ISERROR(SEARCH("fALSE",A1)))</formula>
    </cfRule>
  </conditionalFormatting>
  <conditionalFormatting sqref="W2:W372">
    <cfRule type="cellIs" dxfId="11" priority="95" operator="lessThan">
      <formula>0</formula>
    </cfRule>
    <cfRule type="cellIs" dxfId="10" priority="96" operator="greaterThan">
      <formula>0</formula>
    </cfRule>
  </conditionalFormatting>
  <conditionalFormatting sqref="X26:AE31">
    <cfRule type="containsText" dxfId="9" priority="18" operator="containsText" text="fALSE">
      <formula>NOT(ISERROR(SEARCH("fALSE",X26)))</formula>
    </cfRule>
    <cfRule type="containsText" dxfId="8" priority="19" operator="containsText" text="RT">
      <formula>NOT(ISERROR(SEARCH("RT",X26)))</formula>
    </cfRule>
  </conditionalFormatting>
  <conditionalFormatting sqref="Q1:Q1048576">
    <cfRule type="duplicateValues" dxfId="7" priority="201"/>
  </conditionalFormatting>
  <conditionalFormatting sqref="AQ2:AU4">
    <cfRule type="containsText" dxfId="6" priority="12" operator="containsText" text="RT">
      <formula>NOT(ISERROR(SEARCH("RT",AQ2)))</formula>
    </cfRule>
  </conditionalFormatting>
  <conditionalFormatting sqref="AP2:AP4">
    <cfRule type="containsText" dxfId="5" priority="11" operator="containsText" text="RT">
      <formula>NOT(ISERROR(SEARCH("RT",AP2)))</formula>
    </cfRule>
  </conditionalFormatting>
  <conditionalFormatting sqref="AP2:AP4">
    <cfRule type="containsText" dxfId="4" priority="10" operator="containsText" text="fALSE">
      <formula>NOT(ISERROR(SEARCH("fALSE",AP2)))</formula>
    </cfRule>
  </conditionalFormatting>
  <conditionalFormatting sqref="AP2:AP4">
    <cfRule type="duplicateValues" dxfId="3" priority="9"/>
  </conditionalFormatting>
  <conditionalFormatting sqref="AP2:AP4">
    <cfRule type="duplicateValues" dxfId="2" priority="8"/>
  </conditionalFormatting>
  <conditionalFormatting sqref="AH2:AH64">
    <cfRule type="containsText" dxfId="1" priority="3" operator="containsText" text="RT">
      <formula>NOT(ISERROR(SEARCH("RT",AH2)))</formula>
    </cfRule>
  </conditionalFormatting>
  <conditionalFormatting sqref="AJ3:AK64 AK2:AM2">
    <cfRule type="containsText" dxfId="0" priority="2" operator="containsText" text="RT">
      <formula>NOT(ISERROR(SEARCH("RT",AJ2)))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090623-384-4-fxn-r62-q140neo GT</vt:lpstr>
      <vt:lpstr>No 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Jin</cp:lastModifiedBy>
  <dcterms:created xsi:type="dcterms:W3CDTF">2023-09-07T14:53:18Z</dcterms:created>
  <dcterms:modified xsi:type="dcterms:W3CDTF">2023-09-13T20:49:05Z</dcterms:modified>
</cp:coreProperties>
</file>